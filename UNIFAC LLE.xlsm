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filterPrivacy="1" codeName="EstaPastaDeTrabalho"/>
  <xr:revisionPtr revIDLastSave="0" documentId="13_ncr:1_{B98911F6-975D-48FF-9B9B-E3E89D111D2E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Inserir Dados (VLE)" sheetId="7" state="hidden" r:id="rId2"/>
    <sheet name="Insert Data" sheetId="3" r:id="rId3"/>
    <sheet name="Results" sheetId="5" r:id="rId4"/>
    <sheet name="Plot" sheetId="8" r:id="rId5"/>
    <sheet name="Constantes UNIFAC (VLE)" sheetId="6" state="hidden" r:id="rId6"/>
    <sheet name="UNIFAC Coefficients" sheetId="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6" i="5" l="1"/>
  <c r="U6" i="5"/>
  <c r="V6" i="5"/>
  <c r="T7" i="5"/>
  <c r="U7" i="5"/>
  <c r="V7" i="5"/>
  <c r="T8" i="5"/>
  <c r="U8" i="5"/>
  <c r="V8" i="5"/>
  <c r="T9" i="5"/>
  <c r="U9" i="5"/>
  <c r="V9" i="5"/>
  <c r="T10" i="5"/>
  <c r="U10" i="5"/>
  <c r="V10" i="5"/>
  <c r="T11" i="5"/>
  <c r="U11" i="5"/>
  <c r="V11" i="5"/>
  <c r="T12" i="5"/>
  <c r="U12" i="5"/>
  <c r="V12" i="5"/>
  <c r="T13" i="5"/>
  <c r="U13" i="5"/>
  <c r="V13" i="5"/>
  <c r="T14" i="5"/>
  <c r="U14" i="5"/>
  <c r="V14" i="5"/>
  <c r="T15" i="5"/>
  <c r="U15" i="5"/>
  <c r="V15" i="5"/>
  <c r="T16" i="5"/>
  <c r="U16" i="5"/>
  <c r="V16" i="5"/>
  <c r="T17" i="5"/>
  <c r="U17" i="5"/>
  <c r="V17" i="5"/>
  <c r="T18" i="5"/>
  <c r="U18" i="5"/>
  <c r="V18" i="5"/>
  <c r="T19" i="5"/>
  <c r="U19" i="5"/>
  <c r="V19" i="5"/>
  <c r="T20" i="5"/>
  <c r="U20" i="5"/>
  <c r="V20" i="5"/>
  <c r="T21" i="5"/>
  <c r="U21" i="5"/>
  <c r="V21" i="5"/>
  <c r="T22" i="5"/>
  <c r="U22" i="5"/>
  <c r="V22" i="5"/>
  <c r="T23" i="5"/>
  <c r="U23" i="5"/>
  <c r="V23" i="5"/>
  <c r="T24" i="5"/>
  <c r="U24" i="5"/>
  <c r="V24" i="5"/>
  <c r="T25" i="5"/>
  <c r="U25" i="5"/>
  <c r="V25" i="5"/>
  <c r="T26" i="5"/>
  <c r="U26" i="5"/>
  <c r="V26" i="5"/>
  <c r="T27" i="5"/>
  <c r="U27" i="5"/>
  <c r="V27" i="5"/>
  <c r="T28" i="5"/>
  <c r="U28" i="5"/>
  <c r="V28" i="5"/>
  <c r="T29" i="5"/>
  <c r="U29" i="5"/>
  <c r="V29" i="5"/>
  <c r="T30" i="5"/>
  <c r="U30" i="5"/>
  <c r="V30" i="5"/>
  <c r="T31" i="5"/>
  <c r="U31" i="5"/>
  <c r="V31" i="5"/>
  <c r="T32" i="5"/>
  <c r="U32" i="5"/>
  <c r="V32" i="5"/>
  <c r="T33" i="5"/>
  <c r="U33" i="5"/>
  <c r="V33" i="5"/>
  <c r="T34" i="5"/>
  <c r="U34" i="5"/>
  <c r="V34" i="5"/>
  <c r="T35" i="5"/>
  <c r="U35" i="5"/>
  <c r="V35" i="5"/>
  <c r="T36" i="5"/>
  <c r="U36" i="5"/>
  <c r="V36" i="5"/>
  <c r="T37" i="5"/>
  <c r="U37" i="5"/>
  <c r="V37" i="5"/>
  <c r="T38" i="5"/>
  <c r="U38" i="5"/>
  <c r="V38" i="5"/>
  <c r="T39" i="5"/>
  <c r="U39" i="5"/>
  <c r="V39" i="5"/>
  <c r="T40" i="5"/>
  <c r="U40" i="5"/>
  <c r="V40" i="5"/>
  <c r="T41" i="5"/>
  <c r="U41" i="5"/>
  <c r="V41" i="5"/>
  <c r="T42" i="5"/>
  <c r="U42" i="5"/>
  <c r="V42" i="5"/>
  <c r="T43" i="5"/>
  <c r="U43" i="5"/>
  <c r="V43" i="5"/>
  <c r="T44" i="5"/>
  <c r="U44" i="5"/>
  <c r="V44" i="5"/>
  <c r="T45" i="5"/>
  <c r="U45" i="5"/>
  <c r="V45" i="5"/>
  <c r="T46" i="5"/>
  <c r="U46" i="5"/>
  <c r="V46" i="5"/>
  <c r="T47" i="5"/>
  <c r="U47" i="5"/>
  <c r="V47" i="5"/>
  <c r="T48" i="5"/>
  <c r="U48" i="5"/>
  <c r="V48" i="5"/>
  <c r="T49" i="5"/>
  <c r="U49" i="5"/>
  <c r="V49" i="5"/>
  <c r="T50" i="5"/>
  <c r="U50" i="5"/>
  <c r="V50" i="5"/>
  <c r="T51" i="5"/>
  <c r="U51" i="5"/>
  <c r="V51" i="5"/>
  <c r="T52" i="5"/>
  <c r="U52" i="5"/>
  <c r="V52" i="5"/>
  <c r="T53" i="5"/>
  <c r="U53" i="5"/>
  <c r="V53" i="5"/>
  <c r="T54" i="5"/>
  <c r="U54" i="5"/>
  <c r="V54" i="5"/>
  <c r="T55" i="5"/>
  <c r="U55" i="5"/>
  <c r="V55" i="5"/>
  <c r="T56" i="5"/>
  <c r="U56" i="5"/>
  <c r="V56" i="5"/>
  <c r="T57" i="5"/>
  <c r="U57" i="5"/>
  <c r="V57" i="5"/>
  <c r="T58" i="5"/>
  <c r="U58" i="5"/>
  <c r="V58" i="5"/>
  <c r="T59" i="5"/>
  <c r="U59" i="5"/>
  <c r="V59" i="5"/>
  <c r="T60" i="5"/>
  <c r="U60" i="5"/>
  <c r="V60" i="5"/>
  <c r="T61" i="5"/>
  <c r="U61" i="5"/>
  <c r="V61" i="5"/>
  <c r="T62" i="5"/>
  <c r="U62" i="5"/>
  <c r="V62" i="5"/>
  <c r="T63" i="5"/>
  <c r="U63" i="5"/>
  <c r="V63" i="5"/>
  <c r="T64" i="5"/>
  <c r="U64" i="5"/>
  <c r="V64" i="5"/>
  <c r="T65" i="5"/>
  <c r="U65" i="5"/>
  <c r="V65" i="5"/>
  <c r="T66" i="5"/>
  <c r="U66" i="5"/>
  <c r="V66" i="5"/>
  <c r="T67" i="5"/>
  <c r="U67" i="5"/>
  <c r="V67" i="5"/>
  <c r="T68" i="5"/>
  <c r="U68" i="5"/>
  <c r="V68" i="5"/>
  <c r="T69" i="5"/>
  <c r="U69" i="5"/>
  <c r="V69" i="5"/>
  <c r="T70" i="5"/>
  <c r="U70" i="5"/>
  <c r="V70" i="5"/>
  <c r="T71" i="5"/>
  <c r="U71" i="5"/>
  <c r="V71" i="5"/>
  <c r="T72" i="5"/>
  <c r="U72" i="5"/>
  <c r="V72" i="5"/>
  <c r="T73" i="5"/>
  <c r="U73" i="5"/>
  <c r="V73" i="5"/>
  <c r="T74" i="5"/>
  <c r="U74" i="5"/>
  <c r="V74" i="5"/>
  <c r="T75" i="5"/>
  <c r="U75" i="5"/>
  <c r="V75" i="5"/>
  <c r="T76" i="5"/>
  <c r="U76" i="5"/>
  <c r="V76" i="5"/>
  <c r="T77" i="5"/>
  <c r="U77" i="5"/>
  <c r="V77" i="5"/>
  <c r="T78" i="5"/>
  <c r="U78" i="5"/>
  <c r="V78" i="5"/>
  <c r="T79" i="5"/>
  <c r="U79" i="5"/>
  <c r="V79" i="5"/>
  <c r="T80" i="5"/>
  <c r="U80" i="5"/>
  <c r="V80" i="5"/>
  <c r="T81" i="5"/>
  <c r="U81" i="5"/>
  <c r="V81" i="5"/>
  <c r="T82" i="5"/>
  <c r="U82" i="5"/>
  <c r="V82" i="5"/>
  <c r="T83" i="5"/>
  <c r="U83" i="5"/>
  <c r="V83" i="5"/>
  <c r="T84" i="5"/>
  <c r="U84" i="5"/>
  <c r="V84" i="5"/>
  <c r="T85" i="5"/>
  <c r="U85" i="5"/>
  <c r="V85" i="5"/>
  <c r="T86" i="5"/>
  <c r="U86" i="5"/>
  <c r="V86" i="5"/>
  <c r="T87" i="5"/>
  <c r="U87" i="5"/>
  <c r="V87" i="5"/>
  <c r="T88" i="5"/>
  <c r="U88" i="5"/>
  <c r="V88" i="5"/>
  <c r="T89" i="5"/>
  <c r="U89" i="5"/>
  <c r="V89" i="5"/>
  <c r="T90" i="5"/>
  <c r="U90" i="5"/>
  <c r="V90" i="5"/>
  <c r="T91" i="5"/>
  <c r="U91" i="5"/>
  <c r="V91" i="5"/>
  <c r="T92" i="5"/>
  <c r="U92" i="5"/>
  <c r="V92" i="5"/>
  <c r="U5" i="5"/>
  <c r="V5" i="5"/>
  <c r="T5" i="5"/>
  <c r="P6" i="5"/>
  <c r="Q6" i="5"/>
  <c r="R6" i="5"/>
  <c r="P7" i="5"/>
  <c r="Q7" i="5"/>
  <c r="R7" i="5"/>
  <c r="P8" i="5"/>
  <c r="Q8" i="5"/>
  <c r="R8" i="5"/>
  <c r="P9" i="5"/>
  <c r="Q9" i="5"/>
  <c r="R9" i="5"/>
  <c r="P10" i="5"/>
  <c r="Q10" i="5"/>
  <c r="R10" i="5"/>
  <c r="P11" i="5"/>
  <c r="Q11" i="5"/>
  <c r="R11" i="5"/>
  <c r="P12" i="5"/>
  <c r="Q12" i="5"/>
  <c r="R12" i="5"/>
  <c r="P13" i="5"/>
  <c r="Q13" i="5"/>
  <c r="R13" i="5"/>
  <c r="P14" i="5"/>
  <c r="Q14" i="5"/>
  <c r="R14" i="5"/>
  <c r="P15" i="5"/>
  <c r="Q15" i="5"/>
  <c r="R15" i="5"/>
  <c r="P16" i="5"/>
  <c r="Q16" i="5"/>
  <c r="R16" i="5"/>
  <c r="P17" i="5"/>
  <c r="Q17" i="5"/>
  <c r="R17" i="5"/>
  <c r="P18" i="5"/>
  <c r="Q18" i="5"/>
  <c r="R18" i="5"/>
  <c r="P19" i="5"/>
  <c r="Q19" i="5"/>
  <c r="R19" i="5"/>
  <c r="P20" i="5"/>
  <c r="Q20" i="5"/>
  <c r="R20" i="5"/>
  <c r="P21" i="5"/>
  <c r="Q21" i="5"/>
  <c r="R21" i="5"/>
  <c r="P22" i="5"/>
  <c r="Q22" i="5"/>
  <c r="R22" i="5"/>
  <c r="P23" i="5"/>
  <c r="Q23" i="5"/>
  <c r="R23" i="5"/>
  <c r="P24" i="5"/>
  <c r="Q24" i="5"/>
  <c r="R24" i="5"/>
  <c r="P25" i="5"/>
  <c r="Q25" i="5"/>
  <c r="R25" i="5"/>
  <c r="P26" i="5"/>
  <c r="Q26" i="5"/>
  <c r="R26" i="5"/>
  <c r="P27" i="5"/>
  <c r="Q27" i="5"/>
  <c r="R27" i="5"/>
  <c r="P28" i="5"/>
  <c r="Q28" i="5"/>
  <c r="R28" i="5"/>
  <c r="P29" i="5"/>
  <c r="Q29" i="5"/>
  <c r="R29" i="5"/>
  <c r="P30" i="5"/>
  <c r="Q30" i="5"/>
  <c r="R30" i="5"/>
  <c r="P31" i="5"/>
  <c r="Q31" i="5"/>
  <c r="R31" i="5"/>
  <c r="P32" i="5"/>
  <c r="Q32" i="5"/>
  <c r="R32" i="5"/>
  <c r="P33" i="5"/>
  <c r="Q33" i="5"/>
  <c r="R33" i="5"/>
  <c r="P34" i="5"/>
  <c r="Q34" i="5"/>
  <c r="R34" i="5"/>
  <c r="P35" i="5"/>
  <c r="Q35" i="5"/>
  <c r="R35" i="5"/>
  <c r="P36" i="5"/>
  <c r="Q36" i="5"/>
  <c r="R36" i="5"/>
  <c r="P37" i="5"/>
  <c r="Q37" i="5"/>
  <c r="R37" i="5"/>
  <c r="P38" i="5"/>
  <c r="Q38" i="5"/>
  <c r="R38" i="5"/>
  <c r="P39" i="5"/>
  <c r="Q39" i="5"/>
  <c r="R39" i="5"/>
  <c r="P40" i="5"/>
  <c r="Q40" i="5"/>
  <c r="R40" i="5"/>
  <c r="P41" i="5"/>
  <c r="Q41" i="5"/>
  <c r="R41" i="5"/>
  <c r="P42" i="5"/>
  <c r="Q42" i="5"/>
  <c r="R42" i="5"/>
  <c r="P43" i="5"/>
  <c r="Q43" i="5"/>
  <c r="R43" i="5"/>
  <c r="P44" i="5"/>
  <c r="Q44" i="5"/>
  <c r="R44" i="5"/>
  <c r="P45" i="5"/>
  <c r="Q45" i="5"/>
  <c r="R45" i="5"/>
  <c r="P46" i="5"/>
  <c r="Q46" i="5"/>
  <c r="R46" i="5"/>
  <c r="P47" i="5"/>
  <c r="Q47" i="5"/>
  <c r="R47" i="5"/>
  <c r="P48" i="5"/>
  <c r="Q48" i="5"/>
  <c r="R48" i="5"/>
  <c r="P49" i="5"/>
  <c r="Q49" i="5"/>
  <c r="R49" i="5"/>
  <c r="P50" i="5"/>
  <c r="Q50" i="5"/>
  <c r="R50" i="5"/>
  <c r="P51" i="5"/>
  <c r="Q51" i="5"/>
  <c r="R51" i="5"/>
  <c r="P52" i="5"/>
  <c r="Q52" i="5"/>
  <c r="R52" i="5"/>
  <c r="P53" i="5"/>
  <c r="Q53" i="5"/>
  <c r="R53" i="5"/>
  <c r="P54" i="5"/>
  <c r="Q54" i="5"/>
  <c r="R54" i="5"/>
  <c r="P55" i="5"/>
  <c r="Q55" i="5"/>
  <c r="R55" i="5"/>
  <c r="P56" i="5"/>
  <c r="Q56" i="5"/>
  <c r="R56" i="5"/>
  <c r="P57" i="5"/>
  <c r="Q57" i="5"/>
  <c r="R57" i="5"/>
  <c r="P58" i="5"/>
  <c r="Q58" i="5"/>
  <c r="R58" i="5"/>
  <c r="P59" i="5"/>
  <c r="Q59" i="5"/>
  <c r="R59" i="5"/>
  <c r="P60" i="5"/>
  <c r="Q60" i="5"/>
  <c r="R60" i="5"/>
  <c r="P61" i="5"/>
  <c r="Q61" i="5"/>
  <c r="R61" i="5"/>
  <c r="P62" i="5"/>
  <c r="Q62" i="5"/>
  <c r="R62" i="5"/>
  <c r="P63" i="5"/>
  <c r="Q63" i="5"/>
  <c r="R63" i="5"/>
  <c r="P64" i="5"/>
  <c r="Q64" i="5"/>
  <c r="R64" i="5"/>
  <c r="P65" i="5"/>
  <c r="Q65" i="5"/>
  <c r="R65" i="5"/>
  <c r="P66" i="5"/>
  <c r="Q66" i="5"/>
  <c r="R66" i="5"/>
  <c r="P67" i="5"/>
  <c r="Q67" i="5"/>
  <c r="R67" i="5"/>
  <c r="P68" i="5"/>
  <c r="Q68" i="5"/>
  <c r="R68" i="5"/>
  <c r="P69" i="5"/>
  <c r="Q69" i="5"/>
  <c r="R69" i="5"/>
  <c r="P70" i="5"/>
  <c r="Q70" i="5"/>
  <c r="R70" i="5"/>
  <c r="P71" i="5"/>
  <c r="Q71" i="5"/>
  <c r="R71" i="5"/>
  <c r="P72" i="5"/>
  <c r="Q72" i="5"/>
  <c r="R72" i="5"/>
  <c r="P73" i="5"/>
  <c r="Q73" i="5"/>
  <c r="R73" i="5"/>
  <c r="P74" i="5"/>
  <c r="Q74" i="5"/>
  <c r="R74" i="5"/>
  <c r="P75" i="5"/>
  <c r="Q75" i="5"/>
  <c r="R75" i="5"/>
  <c r="P76" i="5"/>
  <c r="Q76" i="5"/>
  <c r="R76" i="5"/>
  <c r="P77" i="5"/>
  <c r="Q77" i="5"/>
  <c r="R77" i="5"/>
  <c r="P78" i="5"/>
  <c r="Q78" i="5"/>
  <c r="R78" i="5"/>
  <c r="P79" i="5"/>
  <c r="Q79" i="5"/>
  <c r="R79" i="5"/>
  <c r="P80" i="5"/>
  <c r="Q80" i="5"/>
  <c r="R80" i="5"/>
  <c r="P81" i="5"/>
  <c r="Q81" i="5"/>
  <c r="R81" i="5"/>
  <c r="P82" i="5"/>
  <c r="Q82" i="5"/>
  <c r="R82" i="5"/>
  <c r="P83" i="5"/>
  <c r="Q83" i="5"/>
  <c r="R83" i="5"/>
  <c r="P84" i="5"/>
  <c r="Q84" i="5"/>
  <c r="R84" i="5"/>
  <c r="P85" i="5"/>
  <c r="Q85" i="5"/>
  <c r="R85" i="5"/>
  <c r="P86" i="5"/>
  <c r="Q86" i="5"/>
  <c r="R86" i="5"/>
  <c r="P87" i="5"/>
  <c r="Q87" i="5"/>
  <c r="R87" i="5"/>
  <c r="P88" i="5"/>
  <c r="Q88" i="5"/>
  <c r="R88" i="5"/>
  <c r="P89" i="5"/>
  <c r="Q89" i="5"/>
  <c r="R89" i="5"/>
  <c r="P90" i="5"/>
  <c r="Q90" i="5"/>
  <c r="R90" i="5"/>
  <c r="P91" i="5"/>
  <c r="Q91" i="5"/>
  <c r="R91" i="5"/>
  <c r="P92" i="5"/>
  <c r="Q92" i="5"/>
  <c r="R92" i="5"/>
  <c r="Q5" i="5"/>
  <c r="R5" i="5"/>
  <c r="P5" i="5"/>
</calcChain>
</file>

<file path=xl/sharedStrings.xml><?xml version="1.0" encoding="utf-8"?>
<sst xmlns="http://schemas.openxmlformats.org/spreadsheetml/2006/main" count="1276" uniqueCount="184">
  <si>
    <t>Número</t>
  </si>
  <si>
    <t>Subgrupo</t>
  </si>
  <si>
    <t>Grupo Principal</t>
  </si>
  <si>
    <t>Número Principal</t>
  </si>
  <si>
    <r>
      <t>CH</t>
    </r>
    <r>
      <rPr>
        <vertAlign val="subscript"/>
        <sz val="11"/>
        <color theme="1"/>
        <rFont val="Calibri"/>
        <family val="2"/>
        <scheme val="minor"/>
      </rPr>
      <t>3</t>
    </r>
  </si>
  <si>
    <r>
      <t>CH</t>
    </r>
    <r>
      <rPr>
        <vertAlign val="subscript"/>
        <sz val="11"/>
        <color theme="1"/>
        <rFont val="Calibri"/>
        <family val="2"/>
        <scheme val="minor"/>
      </rPr>
      <t>2</t>
    </r>
  </si>
  <si>
    <t>CH</t>
  </si>
  <si>
    <t>C</t>
  </si>
  <si>
    <r>
      <t>CH</t>
    </r>
    <r>
      <rPr>
        <vertAlign val="subscript"/>
        <sz val="11"/>
        <color theme="1"/>
        <rFont val="Calibri"/>
        <family val="2"/>
        <scheme val="minor"/>
      </rPr>
      <t xml:space="preserve">2 </t>
    </r>
    <r>
      <rPr>
        <sz val="11"/>
        <color theme="1"/>
        <rFont val="Calibri"/>
        <family val="2"/>
        <scheme val="minor"/>
      </rPr>
      <t>= CH</t>
    </r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</si>
  <si>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= C</t>
    </r>
  </si>
  <si>
    <r>
      <t>CH</t>
    </r>
    <r>
      <rPr>
        <vertAlign val="sub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= CH</t>
    </r>
  </si>
  <si>
    <r>
      <t>CH</t>
    </r>
    <r>
      <rPr>
        <vertAlign val="subscript"/>
        <sz val="11"/>
        <color theme="1"/>
        <rFont val="Calibri"/>
        <family val="2"/>
        <scheme val="minor"/>
      </rPr>
      <t xml:space="preserve">2 </t>
    </r>
    <r>
      <rPr>
        <sz val="11"/>
        <color theme="1"/>
        <rFont val="Calibri"/>
        <family val="2"/>
        <scheme val="minor"/>
      </rPr>
      <t>= C</t>
    </r>
  </si>
  <si>
    <r>
      <t>CH</t>
    </r>
    <r>
      <rPr>
        <vertAlign val="sub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= C</t>
    </r>
  </si>
  <si>
    <t>ACH</t>
  </si>
  <si>
    <t>AC</t>
  </si>
  <si>
    <r>
      <t>ACCH</t>
    </r>
    <r>
      <rPr>
        <vertAlign val="subscript"/>
        <sz val="11"/>
        <color theme="1"/>
        <rFont val="Calibri"/>
        <family val="2"/>
        <scheme val="minor"/>
      </rPr>
      <t>3</t>
    </r>
  </si>
  <si>
    <r>
      <t>ACCH</t>
    </r>
    <r>
      <rPr>
        <vertAlign val="subscript"/>
        <sz val="11"/>
        <color theme="1"/>
        <rFont val="Calibri"/>
        <family val="2"/>
        <scheme val="minor"/>
      </rPr>
      <t>2</t>
    </r>
  </si>
  <si>
    <t>ACCH</t>
  </si>
  <si>
    <t>OH</t>
  </si>
  <si>
    <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OH</t>
    </r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</si>
  <si>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</si>
  <si>
    <t>ACOH</t>
  </si>
  <si>
    <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CO</t>
    </r>
  </si>
  <si>
    <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CO</t>
    </r>
  </si>
  <si>
    <t>CHO</t>
  </si>
  <si>
    <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COO</t>
    </r>
  </si>
  <si>
    <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COO</t>
    </r>
  </si>
  <si>
    <t>CCOO</t>
  </si>
  <si>
    <t>HCOO</t>
  </si>
  <si>
    <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</t>
    </r>
  </si>
  <si>
    <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</si>
  <si>
    <r>
      <t>THF [(CH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O]</t>
    </r>
  </si>
  <si>
    <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NH</t>
    </r>
    <r>
      <rPr>
        <vertAlign val="subscript"/>
        <sz val="11"/>
        <color theme="1"/>
        <rFont val="Calibri"/>
        <family val="2"/>
        <scheme val="minor"/>
      </rPr>
      <t>2</t>
    </r>
  </si>
  <si>
    <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NH</t>
    </r>
    <r>
      <rPr>
        <vertAlign val="subscript"/>
        <sz val="11"/>
        <color theme="1"/>
        <rFont val="Calibri"/>
        <family val="2"/>
        <scheme val="minor"/>
      </rPr>
      <t>2</t>
    </r>
  </si>
  <si>
    <r>
      <t>CHNH</t>
    </r>
    <r>
      <rPr>
        <vertAlign val="subscript"/>
        <sz val="11"/>
        <color theme="1"/>
        <rFont val="Calibri"/>
        <family val="2"/>
        <scheme val="minor"/>
      </rPr>
      <t>2</t>
    </r>
  </si>
  <si>
    <r>
      <t>CNH</t>
    </r>
    <r>
      <rPr>
        <vertAlign val="subscript"/>
        <sz val="11"/>
        <color theme="1"/>
        <rFont val="Calibri"/>
        <family val="2"/>
        <scheme val="minor"/>
      </rPr>
      <t>2</t>
    </r>
  </si>
  <si>
    <t>CNH</t>
  </si>
  <si>
    <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NH</t>
    </r>
  </si>
  <si>
    <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NH</t>
    </r>
  </si>
  <si>
    <t>CHNH</t>
  </si>
  <si>
    <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N</t>
    </r>
  </si>
  <si>
    <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N</t>
    </r>
  </si>
  <si>
    <r>
      <t>(C)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N</t>
    </r>
  </si>
  <si>
    <r>
      <t>ACNH</t>
    </r>
    <r>
      <rPr>
        <vertAlign val="subscript"/>
        <sz val="11"/>
        <color theme="1"/>
        <rFont val="Calibri"/>
        <family val="2"/>
        <scheme val="minor"/>
      </rPr>
      <t>2</t>
    </r>
  </si>
  <si>
    <r>
      <t>C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N</t>
    </r>
  </si>
  <si>
    <r>
      <t>C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N</t>
    </r>
  </si>
  <si>
    <r>
      <t>C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N</t>
    </r>
  </si>
  <si>
    <t>Pyridine</t>
  </si>
  <si>
    <t>CCN</t>
  </si>
  <si>
    <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CN</t>
    </r>
  </si>
  <si>
    <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CN</t>
    </r>
  </si>
  <si>
    <t>COOH</t>
  </si>
  <si>
    <t>HCOOH</t>
  </si>
  <si>
    <t>CCL</t>
  </si>
  <si>
    <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CL</t>
    </r>
  </si>
  <si>
    <t>CHCL</t>
  </si>
  <si>
    <r>
      <t>CCL</t>
    </r>
    <r>
      <rPr>
        <vertAlign val="subscript"/>
        <sz val="11"/>
        <color theme="1"/>
        <rFont val="Calibri"/>
        <family val="2"/>
        <scheme val="minor"/>
      </rPr>
      <t>2</t>
    </r>
  </si>
  <si>
    <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CL</t>
    </r>
    <r>
      <rPr>
        <vertAlign val="subscript"/>
        <sz val="11"/>
        <color theme="1"/>
        <rFont val="Calibri"/>
        <family val="2"/>
        <scheme val="minor"/>
      </rPr>
      <t>2</t>
    </r>
  </si>
  <si>
    <r>
      <t>CHCL</t>
    </r>
    <r>
      <rPr>
        <vertAlign val="subscript"/>
        <sz val="11"/>
        <color theme="1"/>
        <rFont val="Calibri"/>
        <family val="2"/>
        <scheme val="minor"/>
      </rPr>
      <t>2</t>
    </r>
  </si>
  <si>
    <r>
      <t>CCL</t>
    </r>
    <r>
      <rPr>
        <vertAlign val="subscript"/>
        <sz val="11"/>
        <color theme="1"/>
        <rFont val="Calibri"/>
        <family val="2"/>
        <scheme val="minor"/>
      </rPr>
      <t>3</t>
    </r>
  </si>
  <si>
    <r>
      <t>CHCL</t>
    </r>
    <r>
      <rPr>
        <vertAlign val="subscript"/>
        <sz val="11"/>
        <color theme="1"/>
        <rFont val="Calibri"/>
        <family val="2"/>
        <scheme val="minor"/>
      </rPr>
      <t>3</t>
    </r>
  </si>
  <si>
    <r>
      <t>CCL</t>
    </r>
    <r>
      <rPr>
        <vertAlign val="subscript"/>
        <sz val="11"/>
        <color theme="1"/>
        <rFont val="Calibri"/>
        <family val="2"/>
        <scheme val="minor"/>
      </rPr>
      <t>4</t>
    </r>
  </si>
  <si>
    <t>ACCL</t>
  </si>
  <si>
    <r>
      <t>CNO</t>
    </r>
    <r>
      <rPr>
        <vertAlign val="subscript"/>
        <sz val="11"/>
        <color theme="1"/>
        <rFont val="Calibri"/>
        <family val="2"/>
        <scheme val="minor"/>
      </rPr>
      <t>2</t>
    </r>
  </si>
  <si>
    <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NO</t>
    </r>
    <r>
      <rPr>
        <vertAlign val="subscript"/>
        <sz val="11"/>
        <color theme="1"/>
        <rFont val="Calibri"/>
        <family val="2"/>
        <scheme val="minor"/>
      </rPr>
      <t>2</t>
    </r>
  </si>
  <si>
    <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NO</t>
    </r>
    <r>
      <rPr>
        <vertAlign val="subscript"/>
        <sz val="11"/>
        <color theme="1"/>
        <rFont val="Calibri"/>
        <family val="2"/>
        <scheme val="minor"/>
      </rPr>
      <t>2</t>
    </r>
  </si>
  <si>
    <r>
      <t>CHNO</t>
    </r>
    <r>
      <rPr>
        <vertAlign val="subscript"/>
        <sz val="11"/>
        <color theme="1"/>
        <rFont val="Calibri"/>
        <family val="2"/>
        <scheme val="minor"/>
      </rPr>
      <t>2</t>
    </r>
  </si>
  <si>
    <r>
      <t>ACNO</t>
    </r>
    <r>
      <rPr>
        <vertAlign val="subscript"/>
        <sz val="11"/>
        <color theme="1"/>
        <rFont val="Calibri"/>
        <family val="2"/>
        <scheme val="minor"/>
      </rPr>
      <t>2</t>
    </r>
  </si>
  <si>
    <r>
      <t>CS</t>
    </r>
    <r>
      <rPr>
        <vertAlign val="subscript"/>
        <sz val="11"/>
        <color theme="1"/>
        <rFont val="Calibri"/>
        <family val="2"/>
        <scheme val="minor"/>
      </rPr>
      <t>2</t>
    </r>
  </si>
  <si>
    <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SH</t>
    </r>
  </si>
  <si>
    <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SH</t>
    </r>
  </si>
  <si>
    <t>Furfural</t>
  </si>
  <si>
    <r>
      <t>C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</si>
  <si>
    <t>DOH</t>
  </si>
  <si>
    <t>I</t>
  </si>
  <si>
    <t>BR</t>
  </si>
  <si>
    <t>DMSO</t>
  </si>
  <si>
    <t>ACRY</t>
  </si>
  <si>
    <t>CLCC</t>
  </si>
  <si>
    <t>CL - (C = C)</t>
  </si>
  <si>
    <t>CH = - C</t>
  </si>
  <si>
    <t>C = - C</t>
  </si>
  <si>
    <t>C = C</t>
  </si>
  <si>
    <t>ACF</t>
  </si>
  <si>
    <t>DMF</t>
  </si>
  <si>
    <r>
      <t>DMF [(CH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)NCH]</t>
    </r>
  </si>
  <si>
    <t>HCON(..</t>
  </si>
  <si>
    <r>
      <t>CF</t>
    </r>
    <r>
      <rPr>
        <vertAlign val="subscript"/>
        <sz val="11"/>
        <color theme="1"/>
        <rFont val="Calibri"/>
        <family val="2"/>
        <scheme val="minor"/>
      </rPr>
      <t>3</t>
    </r>
  </si>
  <si>
    <r>
      <t>CF</t>
    </r>
    <r>
      <rPr>
        <vertAlign val="subscript"/>
        <sz val="11"/>
        <color theme="1"/>
        <rFont val="Calibri"/>
        <family val="2"/>
        <scheme val="minor"/>
      </rPr>
      <t>2</t>
    </r>
  </si>
  <si>
    <t>CF</t>
  </si>
  <si>
    <t>COO</t>
  </si>
  <si>
    <r>
      <t>SIH</t>
    </r>
    <r>
      <rPr>
        <vertAlign val="subscript"/>
        <sz val="11"/>
        <color theme="1"/>
        <rFont val="Calibri"/>
        <family val="2"/>
        <scheme val="minor"/>
      </rPr>
      <t>2</t>
    </r>
  </si>
  <si>
    <t>SIH</t>
  </si>
  <si>
    <t>SI</t>
  </si>
  <si>
    <r>
      <t>SIH</t>
    </r>
    <r>
      <rPr>
        <vertAlign val="subscript"/>
        <sz val="11"/>
        <color theme="1"/>
        <rFont val="Calibri"/>
        <family val="2"/>
        <scheme val="minor"/>
      </rPr>
      <t>3</t>
    </r>
  </si>
  <si>
    <t>SIO</t>
  </si>
  <si>
    <r>
      <t>SIH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</si>
  <si>
    <t>SIHO</t>
  </si>
  <si>
    <t>NMP</t>
  </si>
  <si>
    <r>
      <t>CCL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F</t>
    </r>
  </si>
  <si>
    <t>CCLF</t>
  </si>
  <si>
    <r>
      <t>CCL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F</t>
    </r>
  </si>
  <si>
    <r>
      <t>HCCL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F</t>
    </r>
  </si>
  <si>
    <t>HCCLF</t>
  </si>
  <si>
    <r>
      <t>CCLF</t>
    </r>
    <r>
      <rPr>
        <vertAlign val="subscript"/>
        <sz val="11"/>
        <color theme="1"/>
        <rFont val="Calibri"/>
        <family val="2"/>
        <scheme val="minor"/>
      </rPr>
      <t>2</t>
    </r>
  </si>
  <si>
    <r>
      <t>HCCLF</t>
    </r>
    <r>
      <rPr>
        <vertAlign val="subscript"/>
        <sz val="11"/>
        <color theme="1"/>
        <rFont val="Calibri"/>
        <family val="2"/>
        <scheme val="minor"/>
      </rPr>
      <t>2</t>
    </r>
  </si>
  <si>
    <r>
      <t>CCLF</t>
    </r>
    <r>
      <rPr>
        <vertAlign val="subscript"/>
        <sz val="11"/>
        <color theme="1"/>
        <rFont val="Calibri"/>
        <family val="2"/>
        <scheme val="minor"/>
      </rPr>
      <t>3</t>
    </r>
  </si>
  <si>
    <r>
      <t>CCL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F</t>
    </r>
    <r>
      <rPr>
        <vertAlign val="subscript"/>
        <sz val="11"/>
        <color theme="1"/>
        <rFont val="Calibri"/>
        <family val="2"/>
        <scheme val="minor"/>
      </rPr>
      <t>2</t>
    </r>
  </si>
  <si>
    <t>COM(AM)</t>
  </si>
  <si>
    <r>
      <t>AMH</t>
    </r>
    <r>
      <rPr>
        <vertAlign val="subscript"/>
        <sz val="11"/>
        <color theme="1"/>
        <rFont val="Calibri"/>
        <family val="2"/>
        <scheme val="minor"/>
      </rPr>
      <t>2</t>
    </r>
  </si>
  <si>
    <r>
      <t>AMHCH</t>
    </r>
    <r>
      <rPr>
        <vertAlign val="subscript"/>
        <sz val="11"/>
        <color theme="1"/>
        <rFont val="Calibri"/>
        <family val="2"/>
        <scheme val="minor"/>
      </rPr>
      <t>2</t>
    </r>
  </si>
  <si>
    <r>
      <t>AMHCH</t>
    </r>
    <r>
      <rPr>
        <vertAlign val="subscript"/>
        <sz val="11"/>
        <color theme="1"/>
        <rFont val="Calibri"/>
        <family val="2"/>
        <scheme val="minor"/>
      </rPr>
      <t>3</t>
    </r>
  </si>
  <si>
    <r>
      <t>AM(CH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  <r>
      <rPr>
        <vertAlign val="subscript"/>
        <sz val="11"/>
        <color theme="1"/>
        <rFont val="Calibri"/>
        <family val="2"/>
        <scheme val="minor"/>
      </rPr>
      <t>2</t>
    </r>
  </si>
  <si>
    <r>
      <t>AMHCH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</si>
  <si>
    <r>
      <t>AM(CH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  <r>
      <rPr>
        <vertAlign val="subscript"/>
        <sz val="11"/>
        <color theme="1"/>
        <rFont val="Calibri"/>
        <family val="2"/>
        <scheme val="minor"/>
      </rPr>
      <t>2</t>
    </r>
  </si>
  <si>
    <t>OCCOH</t>
  </si>
  <si>
    <r>
      <t>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</si>
  <si>
    <r>
      <t>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</si>
  <si>
    <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S</t>
    </r>
  </si>
  <si>
    <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S</t>
    </r>
  </si>
  <si>
    <t>CHS</t>
  </si>
  <si>
    <t>MORPH</t>
  </si>
  <si>
    <t>Thiophen</t>
  </si>
  <si>
    <t>Morph</t>
  </si>
  <si>
    <r>
      <t>C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S</t>
    </r>
  </si>
  <si>
    <r>
      <t>C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S</t>
    </r>
  </si>
  <si>
    <r>
      <t>C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S</t>
    </r>
  </si>
  <si>
    <t>NCO</t>
  </si>
  <si>
    <t>Sulfones</t>
  </si>
  <si>
    <r>
      <t>(CH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SU</t>
    </r>
  </si>
  <si>
    <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CHSU</t>
    </r>
  </si>
  <si>
    <t>BTI</t>
  </si>
  <si>
    <t>Imidazol</t>
  </si>
  <si>
    <t>IMIDAZOL</t>
  </si>
  <si>
    <t>R</t>
  </si>
  <si>
    <t>Q</t>
  </si>
  <si>
    <t>i</t>
  </si>
  <si>
    <t>j</t>
  </si>
  <si>
    <t>Aij</t>
  </si>
  <si>
    <t>Aji</t>
  </si>
  <si>
    <t>Parâmetros</t>
  </si>
  <si>
    <t>CH3</t>
  </si>
  <si>
    <t>H2O</t>
  </si>
  <si>
    <t>CH2</t>
  </si>
  <si>
    <t>A</t>
  </si>
  <si>
    <t>B</t>
  </si>
  <si>
    <t>292.3</t>
  </si>
  <si>
    <t>104.4</t>
  </si>
  <si>
    <t>COOC</t>
  </si>
  <si>
    <t>xA/xB</t>
  </si>
  <si>
    <t>z</t>
  </si>
  <si>
    <t>CH3COO</t>
  </si>
  <si>
    <t>Component 1</t>
  </si>
  <si>
    <t>Component 2</t>
  </si>
  <si>
    <t>Component 3</t>
  </si>
  <si>
    <t>Water</t>
  </si>
  <si>
    <t>Ethyl Acetate</t>
  </si>
  <si>
    <t>Acetic Acid</t>
  </si>
  <si>
    <t>Group</t>
  </si>
  <si>
    <t>Quantity</t>
  </si>
  <si>
    <t>Sub-group</t>
  </si>
  <si>
    <t>Number</t>
  </si>
  <si>
    <t>Main Number</t>
  </si>
  <si>
    <t>Main Group</t>
  </si>
  <si>
    <t>COMPONENT TABLE</t>
  </si>
  <si>
    <t>Input Panel</t>
  </si>
  <si>
    <t>Component Name</t>
  </si>
  <si>
    <t>PLOT</t>
  </si>
  <si>
    <t>Subgroup</t>
  </si>
  <si>
    <t>Parameters</t>
  </si>
  <si>
    <t>Temperature (°C)</t>
  </si>
  <si>
    <t>Compositions</t>
  </si>
  <si>
    <t>Total Composition</t>
  </si>
  <si>
    <t>Activity Coefficients</t>
  </si>
  <si>
    <t>Distribution Coefficients</t>
  </si>
  <si>
    <t>Molecular assignment guide:</t>
  </si>
  <si>
    <t>http://www.aim.env.uea.ac.uk/aim/info/UNIFACgroups.html</t>
  </si>
  <si>
    <t>Interaction coefficients references:</t>
  </si>
  <si>
    <t>https://www.ddbst.com/published-parameters-unifac.html</t>
  </si>
  <si>
    <t>https://en.wikipedia.org/wiki/UNIFAC</t>
  </si>
  <si>
    <t>Unifac model equations:</t>
  </si>
  <si>
    <t>Instructions</t>
  </si>
  <si>
    <t>LLE SIMULATION USING UNIFAC MODEL</t>
  </si>
  <si>
    <r>
      <t xml:space="preserve">In </t>
    </r>
    <r>
      <rPr>
        <b/>
        <sz val="10"/>
        <color theme="1"/>
        <rFont val="Calibri"/>
        <family val="2"/>
        <scheme val="minor"/>
      </rPr>
      <t>Insert Data</t>
    </r>
    <r>
      <rPr>
        <sz val="10"/>
        <color theme="1"/>
        <rFont val="Calibri"/>
        <family val="2"/>
        <scheme val="minor"/>
      </rPr>
      <t xml:space="preserve"> panel, for each component, one at a time, assign molecular subgroups, select order and click </t>
    </r>
    <r>
      <rPr>
        <b/>
        <sz val="10"/>
        <color theme="1"/>
        <rFont val="Calibri"/>
        <family val="2"/>
        <scheme val="minor"/>
      </rPr>
      <t>Insert</t>
    </r>
    <r>
      <rPr>
        <sz val="10"/>
        <color theme="1"/>
        <rFont val="Calibri"/>
        <family val="2"/>
        <scheme val="minor"/>
      </rPr>
      <t xml:space="preserve"> button. In </t>
    </r>
    <r>
      <rPr>
        <b/>
        <sz val="10"/>
        <color theme="1"/>
        <rFont val="Calibri"/>
        <family val="2"/>
        <scheme val="minor"/>
      </rPr>
      <t>Main</t>
    </r>
    <r>
      <rPr>
        <sz val="10"/>
        <color theme="1"/>
        <rFont val="Calibri"/>
        <family val="2"/>
        <scheme val="minor"/>
      </rPr>
      <t xml:space="preserve"> panel, fill the desired temperature and click in </t>
    </r>
    <r>
      <rPr>
        <b/>
        <sz val="10"/>
        <color theme="1"/>
        <rFont val="Calibri"/>
        <family val="2"/>
        <scheme val="minor"/>
      </rPr>
      <t>Simulate</t>
    </r>
    <r>
      <rPr>
        <sz val="10"/>
        <color theme="1"/>
        <rFont val="Calibri"/>
        <family val="2"/>
        <scheme val="minor"/>
      </rPr>
      <t xml:space="preserve"> button. Results will be output in </t>
    </r>
    <r>
      <rPr>
        <b/>
        <sz val="10"/>
        <color theme="1"/>
        <rFont val="Calibri"/>
        <family val="2"/>
        <scheme val="minor"/>
      </rPr>
      <t>Results</t>
    </r>
    <r>
      <rPr>
        <sz val="10"/>
        <color theme="1"/>
        <rFont val="Calibri"/>
        <family val="2"/>
        <scheme val="minor"/>
      </rPr>
      <t xml:space="preserve"> panel, along with </t>
    </r>
    <r>
      <rPr>
        <b/>
        <sz val="10"/>
        <color theme="1"/>
        <rFont val="Calibri"/>
        <family val="2"/>
        <scheme val="minor"/>
      </rPr>
      <t>Plot</t>
    </r>
    <r>
      <rPr>
        <sz val="10"/>
        <color theme="1"/>
        <rFont val="Calibri"/>
        <family val="2"/>
        <scheme val="minor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</si>
</sst>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3" tint="0.59999389629810485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36"/>
      <name val="Calibri"/>
      <family val="2"/>
      <scheme val="minor"/>
    </font>
    <font>
      <b/>
      <sz val="36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9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174">
    <xf numFmtId="0" fontId="0" fillId="0" borderId="0" xfId="0"/>
    <xf numFmtId="0" fontId="0" fillId="2" borderId="0" xfId="0" applyFill="1"/>
    <xf numFmtId="0" fontId="0" fillId="2" borderId="3" xfId="0" applyFill="1" applyBorder="1"/>
    <xf numFmtId="0" fontId="0" fillId="2" borderId="6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vertical="center" wrapText="1"/>
    </xf>
    <xf numFmtId="0" fontId="1" fillId="4" borderId="5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5" xfId="0" applyFill="1" applyBorder="1" applyAlignment="1">
      <alignment vertical="center"/>
    </xf>
    <xf numFmtId="0" fontId="0" fillId="7" borderId="2" xfId="0" applyFill="1" applyBorder="1"/>
    <xf numFmtId="0" fontId="0" fillId="7" borderId="3" xfId="0" applyFill="1" applyBorder="1" applyAlignment="1">
      <alignment horizontal="center" vertical="center"/>
    </xf>
    <xf numFmtId="0" fontId="0" fillId="7" borderId="3" xfId="0" applyFill="1" applyBorder="1"/>
    <xf numFmtId="0" fontId="0" fillId="7" borderId="5" xfId="0" applyFill="1" applyBorder="1"/>
    <xf numFmtId="0" fontId="0" fillId="7" borderId="7" xfId="0" applyFill="1" applyBorder="1"/>
    <xf numFmtId="0" fontId="0" fillId="7" borderId="8" xfId="0" applyFill="1" applyBorder="1" applyAlignment="1">
      <alignment horizontal="center" vertical="center"/>
    </xf>
    <xf numFmtId="0" fontId="0" fillId="7" borderId="8" xfId="0" applyFill="1" applyBorder="1"/>
    <xf numFmtId="0" fontId="0" fillId="7" borderId="9" xfId="0" applyFill="1" applyBorder="1"/>
    <xf numFmtId="0" fontId="2" fillId="7" borderId="6" xfId="0" applyFont="1" applyFill="1" applyBorder="1" applyAlignment="1">
      <alignment vertical="center" wrapText="1"/>
    </xf>
    <xf numFmtId="0" fontId="0" fillId="7" borderId="6" xfId="0" applyFill="1" applyBorder="1"/>
    <xf numFmtId="0" fontId="1" fillId="7" borderId="11" xfId="0" applyFont="1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2" fillId="3" borderId="3" xfId="0" applyFont="1" applyFill="1" applyBorder="1" applyAlignment="1">
      <alignment vertical="center" wrapText="1"/>
    </xf>
    <xf numFmtId="0" fontId="2" fillId="3" borderId="4" xfId="0" applyFont="1" applyFill="1" applyBorder="1" applyAlignment="1">
      <alignment vertical="center" wrapText="1"/>
    </xf>
    <xf numFmtId="0" fontId="2" fillId="3" borderId="0" xfId="0" applyFont="1" applyFill="1" applyAlignment="1">
      <alignment vertical="center" wrapText="1"/>
    </xf>
    <xf numFmtId="0" fontId="2" fillId="3" borderId="6" xfId="0" applyFont="1" applyFill="1" applyBorder="1" applyAlignment="1">
      <alignment vertical="center" wrapText="1"/>
    </xf>
    <xf numFmtId="0" fontId="2" fillId="3" borderId="8" xfId="0" applyFont="1" applyFill="1" applyBorder="1" applyAlignment="1">
      <alignment vertical="center" wrapText="1"/>
    </xf>
    <xf numFmtId="0" fontId="2" fillId="3" borderId="9" xfId="0" applyFont="1" applyFill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5" fillId="6" borderId="0" xfId="0" applyFont="1" applyFill="1" applyAlignment="1">
      <alignment horizontal="center" vertical="center"/>
    </xf>
    <xf numFmtId="0" fontId="0" fillId="7" borderId="15" xfId="0" applyFill="1" applyBorder="1"/>
    <xf numFmtId="0" fontId="0" fillId="7" borderId="12" xfId="0" applyFill="1" applyBorder="1"/>
    <xf numFmtId="0" fontId="0" fillId="2" borderId="1" xfId="0" applyFill="1" applyBorder="1" applyAlignment="1">
      <alignment horizontal="center"/>
    </xf>
    <xf numFmtId="0" fontId="0" fillId="13" borderId="5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0" fillId="13" borderId="8" xfId="0" applyFill="1" applyBorder="1" applyAlignment="1">
      <alignment horizontal="center" vertical="center"/>
    </xf>
    <xf numFmtId="0" fontId="0" fillId="13" borderId="6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9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12" borderId="5" xfId="0" applyFill="1" applyBorder="1" applyAlignment="1">
      <alignment vertical="center"/>
    </xf>
    <xf numFmtId="0" fontId="0" fillId="12" borderId="0" xfId="0" applyFill="1" applyAlignment="1">
      <alignment vertical="center"/>
    </xf>
    <xf numFmtId="0" fontId="0" fillId="12" borderId="6" xfId="0" applyFill="1" applyBorder="1" applyAlignment="1">
      <alignment vertical="center"/>
    </xf>
    <xf numFmtId="0" fontId="0" fillId="12" borderId="7" xfId="0" applyFill="1" applyBorder="1" applyAlignment="1">
      <alignment vertical="center"/>
    </xf>
    <xf numFmtId="0" fontId="0" fillId="12" borderId="8" xfId="0" applyFill="1" applyBorder="1" applyAlignment="1">
      <alignment vertical="center"/>
    </xf>
    <xf numFmtId="0" fontId="0" fillId="12" borderId="9" xfId="0" applyFill="1" applyBorder="1" applyAlignment="1">
      <alignment vertical="center"/>
    </xf>
    <xf numFmtId="0" fontId="0" fillId="2" borderId="5" xfId="0" applyFill="1" applyBorder="1"/>
    <xf numFmtId="0" fontId="0" fillId="2" borderId="0" xfId="0" applyFill="1" applyAlignment="1">
      <alignment vertical="center"/>
    </xf>
    <xf numFmtId="49" fontId="6" fillId="2" borderId="5" xfId="0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16" fillId="2" borderId="5" xfId="2" applyFont="1" applyFill="1" applyBorder="1" applyAlignment="1">
      <alignment vertical="center" wrapText="1"/>
    </xf>
    <xf numFmtId="0" fontId="16" fillId="2" borderId="0" xfId="2" applyFont="1" applyFill="1" applyBorder="1" applyAlignment="1">
      <alignment vertical="center" wrapText="1"/>
    </xf>
    <xf numFmtId="0" fontId="16" fillId="2" borderId="6" xfId="2" applyFont="1" applyFill="1" applyBorder="1" applyAlignment="1">
      <alignment vertical="center" wrapText="1"/>
    </xf>
    <xf numFmtId="0" fontId="14" fillId="2" borderId="5" xfId="0" applyFont="1" applyFill="1" applyBorder="1" applyAlignment="1">
      <alignment vertical="center" wrapText="1"/>
    </xf>
    <xf numFmtId="0" fontId="14" fillId="2" borderId="0" xfId="0" applyFont="1" applyFill="1" applyAlignment="1">
      <alignment vertical="center" wrapText="1"/>
    </xf>
    <xf numFmtId="0" fontId="14" fillId="2" borderId="6" xfId="0" applyFont="1" applyFill="1" applyBorder="1" applyAlignment="1">
      <alignment vertical="center" wrapText="1"/>
    </xf>
    <xf numFmtId="49" fontId="6" fillId="2" borderId="7" xfId="0" applyNumberFormat="1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0" fillId="2" borderId="7" xfId="0" applyFill="1" applyBorder="1"/>
    <xf numFmtId="0" fontId="0" fillId="2" borderId="12" xfId="0" applyFill="1" applyBorder="1"/>
    <xf numFmtId="0" fontId="0" fillId="2" borderId="8" xfId="0" applyFill="1" applyBorder="1" applyAlignment="1">
      <alignment horizontal="center" vertical="center"/>
    </xf>
    <xf numFmtId="0" fontId="0" fillId="2" borderId="15" xfId="0" applyFill="1" applyBorder="1"/>
    <xf numFmtId="0" fontId="0" fillId="2" borderId="12" xfId="0" applyFill="1" applyBorder="1" applyAlignment="1">
      <alignment horizontal="center" vertical="center"/>
    </xf>
    <xf numFmtId="0" fontId="18" fillId="2" borderId="8" xfId="0" applyFont="1" applyFill="1" applyBorder="1" applyAlignment="1">
      <alignment vertical="center"/>
    </xf>
    <xf numFmtId="0" fontId="18" fillId="2" borderId="0" xfId="0" applyFont="1" applyFill="1" applyAlignment="1">
      <alignment vertical="center"/>
    </xf>
    <xf numFmtId="0" fontId="1" fillId="15" borderId="14" xfId="0" applyFont="1" applyFill="1" applyBorder="1" applyAlignment="1">
      <alignment horizontal="center" vertical="center"/>
    </xf>
    <xf numFmtId="0" fontId="1" fillId="15" borderId="15" xfId="0" applyFont="1" applyFill="1" applyBorder="1" applyAlignment="1">
      <alignment horizontal="center" vertical="center"/>
    </xf>
    <xf numFmtId="0" fontId="1" fillId="15" borderId="10" xfId="0" applyFont="1" applyFill="1" applyBorder="1" applyAlignment="1">
      <alignment horizontal="center" vertical="center"/>
    </xf>
    <xf numFmtId="0" fontId="1" fillId="15" borderId="15" xfId="0" applyFont="1" applyFill="1" applyBorder="1" applyAlignment="1">
      <alignment horizontal="center" vertical="center" wrapText="1"/>
    </xf>
    <xf numFmtId="0" fontId="13" fillId="2" borderId="0" xfId="0" applyFont="1" applyFill="1" applyAlignment="1">
      <alignment vertical="center" wrapText="1"/>
    </xf>
    <xf numFmtId="0" fontId="2" fillId="2" borderId="0" xfId="0" applyFont="1" applyFill="1" applyAlignment="1">
      <alignment vertical="center"/>
    </xf>
    <xf numFmtId="164" fontId="0" fillId="0" borderId="0" xfId="0" applyNumberFormat="1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164" fontId="20" fillId="16" borderId="0" xfId="0" applyNumberFormat="1" applyFont="1" applyFill="1" applyAlignment="1">
      <alignment horizontal="center" vertical="center"/>
    </xf>
    <xf numFmtId="164" fontId="20" fillId="16" borderId="0" xfId="0" applyNumberFormat="1" applyFont="1" applyFill="1" applyAlignment="1">
      <alignment vertical="center"/>
    </xf>
    <xf numFmtId="164" fontId="1" fillId="14" borderId="0" xfId="0" applyNumberFormat="1" applyFont="1" applyFill="1" applyAlignment="1">
      <alignment horizontal="center" vertical="center"/>
    </xf>
    <xf numFmtId="164" fontId="1" fillId="14" borderId="0" xfId="0" applyNumberFormat="1" applyFont="1" applyFill="1" applyAlignment="1">
      <alignment vertical="center"/>
    </xf>
    <xf numFmtId="164" fontId="0" fillId="2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vertical="center"/>
    </xf>
    <xf numFmtId="164" fontId="0" fillId="2" borderId="0" xfId="1" applyNumberFormat="1" applyFont="1" applyFill="1" applyAlignment="1">
      <alignment horizontal="center" vertical="center"/>
    </xf>
    <xf numFmtId="0" fontId="1" fillId="15" borderId="2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13" fillId="14" borderId="0" xfId="0" applyFont="1" applyFill="1" applyAlignment="1">
      <alignment horizontal="center" vertical="center" wrapText="1"/>
    </xf>
    <xf numFmtId="0" fontId="16" fillId="2" borderId="5" xfId="2" applyFont="1" applyFill="1" applyBorder="1" applyAlignment="1">
      <alignment horizontal="center" vertical="center" wrapText="1"/>
    </xf>
    <xf numFmtId="0" fontId="16" fillId="2" borderId="0" xfId="2" applyFont="1" applyFill="1" applyBorder="1" applyAlignment="1">
      <alignment horizontal="center" vertical="center" wrapText="1"/>
    </xf>
    <xf numFmtId="0" fontId="16" fillId="2" borderId="6" xfId="2" applyFont="1" applyFill="1" applyBorder="1" applyAlignment="1">
      <alignment horizontal="center" vertical="center" wrapText="1"/>
    </xf>
    <xf numFmtId="0" fontId="14" fillId="2" borderId="5" xfId="0" applyFont="1" applyFill="1" applyBorder="1" applyAlignment="1">
      <alignment horizontal="left" vertical="center" wrapText="1"/>
    </xf>
    <xf numFmtId="0" fontId="14" fillId="2" borderId="0" xfId="0" applyFont="1" applyFill="1" applyAlignment="1">
      <alignment horizontal="left" vertical="center" wrapText="1"/>
    </xf>
    <xf numFmtId="0" fontId="14" fillId="2" borderId="6" xfId="0" applyFont="1" applyFill="1" applyBorder="1" applyAlignment="1">
      <alignment horizontal="left" vertical="center" wrapText="1"/>
    </xf>
    <xf numFmtId="0" fontId="16" fillId="2" borderId="7" xfId="2" applyFont="1" applyFill="1" applyBorder="1" applyAlignment="1">
      <alignment horizontal="center" vertical="center" wrapText="1"/>
    </xf>
    <xf numFmtId="0" fontId="16" fillId="2" borderId="8" xfId="2" applyFont="1" applyFill="1" applyBorder="1" applyAlignment="1">
      <alignment horizontal="center" vertical="center" wrapText="1"/>
    </xf>
    <xf numFmtId="0" fontId="16" fillId="2" borderId="9" xfId="2" applyFont="1" applyFill="1" applyBorder="1" applyAlignment="1">
      <alignment horizontal="center" vertical="center" wrapText="1"/>
    </xf>
    <xf numFmtId="0" fontId="1" fillId="15" borderId="14" xfId="0" applyFont="1" applyFill="1" applyBorder="1" applyAlignment="1">
      <alignment horizontal="center" vertical="center"/>
    </xf>
    <xf numFmtId="0" fontId="1" fillId="15" borderId="15" xfId="0" applyFont="1" applyFill="1" applyBorder="1" applyAlignment="1">
      <alignment horizontal="center" vertical="center"/>
    </xf>
    <xf numFmtId="0" fontId="1" fillId="15" borderId="10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 wrapText="1"/>
    </xf>
    <xf numFmtId="0" fontId="2" fillId="8" borderId="3" xfId="0" applyFont="1" applyFill="1" applyBorder="1" applyAlignment="1">
      <alignment horizontal="center" vertical="center" wrapText="1"/>
    </xf>
    <xf numFmtId="0" fontId="2" fillId="8" borderId="4" xfId="0" applyFont="1" applyFill="1" applyBorder="1" applyAlignment="1">
      <alignment horizontal="center" vertical="center" wrapText="1"/>
    </xf>
    <xf numFmtId="0" fontId="2" fillId="8" borderId="5" xfId="0" applyFont="1" applyFill="1" applyBorder="1" applyAlignment="1">
      <alignment horizontal="center" vertical="center" wrapText="1"/>
    </xf>
    <xf numFmtId="0" fontId="2" fillId="8" borderId="0" xfId="0" applyFont="1" applyFill="1" applyAlignment="1">
      <alignment horizontal="center" vertical="center" wrapText="1"/>
    </xf>
    <xf numFmtId="0" fontId="2" fillId="8" borderId="6" xfId="0" applyFont="1" applyFill="1" applyBorder="1" applyAlignment="1">
      <alignment horizontal="center" vertical="center" wrapText="1"/>
    </xf>
    <xf numFmtId="0" fontId="2" fillId="8" borderId="7" xfId="0" applyFont="1" applyFill="1" applyBorder="1" applyAlignment="1">
      <alignment horizontal="center" vertical="center" wrapText="1"/>
    </xf>
    <xf numFmtId="0" fontId="2" fillId="8" borderId="8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19" fillId="14" borderId="0" xfId="0" applyFont="1" applyFill="1" applyAlignment="1">
      <alignment horizontal="center" vertical="center" wrapText="1"/>
    </xf>
    <xf numFmtId="164" fontId="20" fillId="16" borderId="0" xfId="0" applyNumberFormat="1" applyFont="1" applyFill="1" applyAlignment="1">
      <alignment horizontal="center" vertical="center"/>
    </xf>
    <xf numFmtId="164" fontId="1" fillId="14" borderId="0" xfId="0" applyNumberFormat="1" applyFont="1" applyFill="1" applyAlignment="1">
      <alignment horizontal="center" vertical="center"/>
    </xf>
    <xf numFmtId="0" fontId="12" fillId="14" borderId="0" xfId="0" applyFont="1" applyFill="1" applyAlignment="1">
      <alignment horizontal="center" vertical="center"/>
    </xf>
  </cellXfs>
  <cellStyles count="3">
    <cellStyle name="Hiperlink" xfId="2" builtinId="8"/>
    <cellStyle name="Normal" xfId="0" builtinId="0"/>
    <cellStyle name="Porcentagem" xfId="1" builtinId="5"/>
  </cellStyles>
  <dxfs count="0"/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chemeClr val="tx1"/>
                </a:solidFill>
              </a:rPr>
              <a:t>x</a:t>
            </a:r>
            <a:r>
              <a:rPr lang="pt-BR" b="1" baseline="-25000">
                <a:solidFill>
                  <a:schemeClr val="tx1"/>
                </a:solidFill>
              </a:rPr>
              <a:t>b</a:t>
            </a:r>
            <a:r>
              <a:rPr lang="pt-BR" b="1">
                <a:solidFill>
                  <a:schemeClr val="tx1"/>
                </a:solidFill>
              </a:rPr>
              <a:t>(3) = f(x</a:t>
            </a:r>
            <a:r>
              <a:rPr lang="pt-BR" b="1" baseline="-25000">
                <a:solidFill>
                  <a:schemeClr val="tx1"/>
                </a:solidFill>
              </a:rPr>
              <a:t>a</a:t>
            </a:r>
            <a:r>
              <a:rPr lang="pt-BR" b="1">
                <a:solidFill>
                  <a:schemeClr val="tx1"/>
                </a:solidFill>
              </a:rPr>
              <a:t>(3))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2"/>
          <c:tx>
            <c:v>Diagonal</c:v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Lit>
              <c:formatCode>Geral</c:formatCode>
              <c:ptCount val="2"/>
              <c:pt idx="0">
                <c:v>0</c:v>
              </c:pt>
              <c:pt idx="1">
                <c:v>1</c:v>
              </c:pt>
            </c:numLit>
          </c:xVal>
          <c:yVal>
            <c:numLit>
              <c:formatCode>Geral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C980-461A-8344-9DDED7A31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669792"/>
        <c:axId val="23907435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A</c:v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Results!$D$5:$D$300</c15:sqref>
                        </c15:formulaRef>
                      </c:ext>
                    </c:extLst>
                    <c:numCache>
                      <c:formatCode>0,000</c:formatCode>
                      <c:ptCount val="296"/>
                      <c:pt idx="0">
                        <c:v>0.28958750748224982</c:v>
                      </c:pt>
                      <c:pt idx="1">
                        <c:v>0.28588690488315593</c:v>
                      </c:pt>
                      <c:pt idx="2">
                        <c:v>0.28102765998910362</c:v>
                      </c:pt>
                      <c:pt idx="3">
                        <c:v>0.27450046543369855</c:v>
                      </c:pt>
                      <c:pt idx="4">
                        <c:v>0.26617635395587713</c:v>
                      </c:pt>
                      <c:pt idx="5">
                        <c:v>0.25617133559992911</c:v>
                      </c:pt>
                      <c:pt idx="6">
                        <c:v>0.24468903731380101</c:v>
                      </c:pt>
                      <c:pt idx="7">
                        <c:v>0.23193359691841725</c:v>
                      </c:pt>
                      <c:pt idx="8">
                        <c:v>0.21807989996348759</c:v>
                      </c:pt>
                      <c:pt idx="9">
                        <c:v>0.20327064348403795</c:v>
                      </c:pt>
                      <c:pt idx="10">
                        <c:v>0.1876169366009742</c:v>
                      </c:pt>
                      <c:pt idx="11">
                        <c:v>0.18397788677235849</c:v>
                      </c:pt>
                      <c:pt idx="12">
                        <c:v>0.18828361258744575</c:v>
                      </c:pt>
                      <c:pt idx="13">
                        <c:v>0.19200083318795036</c:v>
                      </c:pt>
                      <c:pt idx="14">
                        <c:v>0.19521662623750868</c:v>
                      </c:pt>
                      <c:pt idx="15">
                        <c:v>0.19800120583140712</c:v>
                      </c:pt>
                      <c:pt idx="16">
                        <c:v>0.20041175452460325</c:v>
                      </c:pt>
                      <c:pt idx="17">
                        <c:v>0.20249525871737184</c:v>
                      </c:pt>
                      <c:pt idx="18">
                        <c:v>0.20429063002237247</c:v>
                      </c:pt>
                      <c:pt idx="19">
                        <c:v>0.20583031079530778</c:v>
                      </c:pt>
                      <c:pt idx="20">
                        <c:v>0.20714150297425027</c:v>
                      </c:pt>
                      <c:pt idx="21">
                        <c:v>0.20824711865157763</c:v>
                      </c:pt>
                      <c:pt idx="22">
                        <c:v>0.20916652270631608</c:v>
                      </c:pt>
                      <c:pt idx="23">
                        <c:v>0.20991611831688639</c:v>
                      </c:pt>
                      <c:pt idx="24">
                        <c:v>0.21050981250617562</c:v>
                      </c:pt>
                      <c:pt idx="25">
                        <c:v>0.21095938919944268</c:v>
                      </c:pt>
                      <c:pt idx="26">
                        <c:v>0.21127481036313223</c:v>
                      </c:pt>
                      <c:pt idx="27">
                        <c:v>0.21146446080570136</c:v>
                      </c:pt>
                      <c:pt idx="28">
                        <c:v>0.21153534859326539</c:v>
                      </c:pt>
                      <c:pt idx="29">
                        <c:v>0.21149327037321985</c:v>
                      </c:pt>
                      <c:pt idx="30">
                        <c:v>0.21134294893618233</c:v>
                      </c:pt>
                      <c:pt idx="31">
                        <c:v>0.21108814888705973</c:v>
                      </c:pt>
                      <c:pt idx="32">
                        <c:v>0.2107317751974177</c:v>
                      </c:pt>
                      <c:pt idx="33">
                        <c:v>0.21027595856576831</c:v>
                      </c:pt>
                      <c:pt idx="34">
                        <c:v>0.2097221308331319</c:v>
                      </c:pt>
                      <c:pt idx="35">
                        <c:v>0.20907109311839367</c:v>
                      </c:pt>
                      <c:pt idx="36">
                        <c:v>0.20832307879580847</c:v>
                      </c:pt>
                      <c:pt idx="37">
                        <c:v>0.20747781289812928</c:v>
                      </c:pt>
                      <c:pt idx="38">
                        <c:v>0.2065345689807167</c:v>
                      </c:pt>
                      <c:pt idx="39">
                        <c:v>0.20549222394130701</c:v>
                      </c:pt>
                      <c:pt idx="40">
                        <c:v>0.20434931080328611</c:v>
                      </c:pt>
                      <c:pt idx="41">
                        <c:v>0.20310406910025719</c:v>
                      </c:pt>
                      <c:pt idx="42">
                        <c:v>0.20175449230435738</c:v>
                      </c:pt>
                      <c:pt idx="43">
                        <c:v>0.20029837174684773</c:v>
                      </c:pt>
                      <c:pt idx="44">
                        <c:v>0.19873333666647314</c:v>
                      </c:pt>
                      <c:pt idx="45">
                        <c:v>0.19705689032319812</c:v>
                      </c:pt>
                      <c:pt idx="46">
                        <c:v>0.19526644244361752</c:v>
                      </c:pt>
                      <c:pt idx="47">
                        <c:v>0.19335933853693255</c:v>
                      </c:pt>
                      <c:pt idx="48">
                        <c:v>0.19133288678460919</c:v>
                      </c:pt>
                      <c:pt idx="49">
                        <c:v>0.18918438324749987</c:v>
                      </c:pt>
                      <c:pt idx="50">
                        <c:v>0.18691113606807053</c:v>
                      </c:pt>
                      <c:pt idx="51">
                        <c:v>0.18451048920552365</c:v>
                      </c:pt>
                      <c:pt idx="52">
                        <c:v>0.1819798460645482</c:v>
                      </c:pt>
                      <c:pt idx="53">
                        <c:v>0.17931669319447735</c:v>
                      </c:pt>
                      <c:pt idx="54">
                        <c:v>0.17651862406558722</c:v>
                      </c:pt>
                      <c:pt idx="55">
                        <c:v>0.17358336278480913</c:v>
                      </c:pt>
                      <c:pt idx="56">
                        <c:v>0.1705087874992412</c:v>
                      </c:pt>
                      <c:pt idx="57">
                        <c:v>0.16729295315321913</c:v>
                      </c:pt>
                      <c:pt idx="58">
                        <c:v>0.16393411321185669</c:v>
                      </c:pt>
                      <c:pt idx="59">
                        <c:v>0.16043073993860793</c:v>
                      </c:pt>
                      <c:pt idx="60">
                        <c:v>0.15678154281377504</c:v>
                      </c:pt>
                      <c:pt idx="61">
                        <c:v>0.15298548470234036</c:v>
                      </c:pt>
                      <c:pt idx="62">
                        <c:v>0.14904179542012955</c:v>
                      </c:pt>
                      <c:pt idx="63">
                        <c:v>0.14494998240410351</c:v>
                      </c:pt>
                      <c:pt idx="64">
                        <c:v>0.14070983826215652</c:v>
                      </c:pt>
                      <c:pt idx="65">
                        <c:v>0.13632144505654448</c:v>
                      </c:pt>
                      <c:pt idx="66">
                        <c:v>0.13178517525908723</c:v>
                      </c:pt>
                      <c:pt idx="67">
                        <c:v>0.1271016894016323</c:v>
                      </c:pt>
                      <c:pt idx="68">
                        <c:v>0.12227193052801649</c:v>
                      </c:pt>
                      <c:pt idx="69">
                        <c:v>0.11729711563045947</c:v>
                      </c:pt>
                      <c:pt idx="70">
                        <c:v>0.11217872432052028</c:v>
                      </c:pt>
                      <c:pt idx="71">
                        <c:v>0.10691848504121282</c:v>
                      </c:pt>
                      <c:pt idx="72">
                        <c:v>0.10151835916789581</c:v>
                      </c:pt>
                      <c:pt idx="73">
                        <c:v>9.5980523376004157E-2</c:v>
                      </c:pt>
                      <c:pt idx="74">
                        <c:v>9.0307350666132602E-2</c:v>
                      </c:pt>
                      <c:pt idx="75">
                        <c:v>8.4501390438747687E-2</c:v>
                      </c:pt>
                      <c:pt idx="76">
                        <c:v>7.8565347999070112E-2</c:v>
                      </c:pt>
                      <c:pt idx="77">
                        <c:v>7.2502063850679255E-2</c:v>
                      </c:pt>
                      <c:pt idx="78">
                        <c:v>6.6314493159083471E-2</c:v>
                      </c:pt>
                      <c:pt idx="79">
                        <c:v>6.0005685422614696E-2</c:v>
                      </c:pt>
                      <c:pt idx="80">
                        <c:v>5.3578765248282811E-2</c:v>
                      </c:pt>
                      <c:pt idx="81">
                        <c:v>4.7036913307159783E-2</c:v>
                      </c:pt>
                      <c:pt idx="82">
                        <c:v>4.038334932843593E-2</c:v>
                      </c:pt>
                      <c:pt idx="83">
                        <c:v>3.3621314868532592E-2</c:v>
                      </c:pt>
                      <c:pt idx="84">
                        <c:v>2.6754059314041595E-2</c:v>
                      </c:pt>
                      <c:pt idx="85">
                        <c:v>1.9784824404385754E-2</c:v>
                      </c:pt>
                      <c:pt idx="86">
                        <c:v>1.2716834074665118E-2</c:v>
                      </c:pt>
                      <c:pt idx="87">
                        <c:v>5.5532806996004824E-3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Results!$G$5:$G$300</c15:sqref>
                        </c15:formulaRef>
                      </c:ext>
                    </c:extLst>
                    <c:numCache>
                      <c:formatCode>0,000</c:formatCode>
                      <c:ptCount val="296"/>
                      <c:pt idx="0">
                        <c:v>0.28958751708408198</c:v>
                      </c:pt>
                      <c:pt idx="1">
                        <c:v>0.28588688582483385</c:v>
                      </c:pt>
                      <c:pt idx="2">
                        <c:v>0.28102763105490575</c:v>
                      </c:pt>
                      <c:pt idx="3">
                        <c:v>0.27450043063544627</c:v>
                      </c:pt>
                      <c:pt idx="4">
                        <c:v>0.26617631996389374</c:v>
                      </c:pt>
                      <c:pt idx="5">
                        <c:v>0.25617129771914521</c:v>
                      </c:pt>
                      <c:pt idx="6">
                        <c:v>0.24468899978622843</c:v>
                      </c:pt>
                      <c:pt idx="7">
                        <c:v>0.23193355068167471</c:v>
                      </c:pt>
                      <c:pt idx="8">
                        <c:v>0.21807983815722726</c:v>
                      </c:pt>
                      <c:pt idx="9">
                        <c:v>0.20327055559748833</c:v>
                      </c:pt>
                      <c:pt idx="10">
                        <c:v>0.18761665447790651</c:v>
                      </c:pt>
                      <c:pt idx="11">
                        <c:v>0.16532331378496284</c:v>
                      </c:pt>
                      <c:pt idx="12">
                        <c:v>0.16084940193809397</c:v>
                      </c:pt>
                      <c:pt idx="13">
                        <c:v>0.15692642102285331</c:v>
                      </c:pt>
                      <c:pt idx="14">
                        <c:v>0.15347813748281269</c:v>
                      </c:pt>
                      <c:pt idx="15">
                        <c:v>0.15044193034089007</c:v>
                      </c:pt>
                      <c:pt idx="16">
                        <c:v>0.14776567201900109</c:v>
                      </c:pt>
                      <c:pt idx="17">
                        <c:v>0.14540503924908835</c:v>
                      </c:pt>
                      <c:pt idx="18">
                        <c:v>0.14332406033462722</c:v>
                      </c:pt>
                      <c:pt idx="19">
                        <c:v>0.1414903200256786</c:v>
                      </c:pt>
                      <c:pt idx="20">
                        <c:v>0.13987630919584937</c:v>
                      </c:pt>
                      <c:pt idx="21">
                        <c:v>0.13845798170765933</c:v>
                      </c:pt>
                      <c:pt idx="22">
                        <c:v>0.13721399760077502</c:v>
                      </c:pt>
                      <c:pt idx="23">
                        <c:v>0.13612520572120212</c:v>
                      </c:pt>
                      <c:pt idx="24">
                        <c:v>0.13517411387202743</c:v>
                      </c:pt>
                      <c:pt idx="25">
                        <c:v>0.13434448825011938</c:v>
                      </c:pt>
                      <c:pt idx="26">
                        <c:v>0.13362100183412512</c:v>
                      </c:pt>
                      <c:pt idx="27">
                        <c:v>0.1329888953058154</c:v>
                      </c:pt>
                      <c:pt idx="28">
                        <c:v>0.13243370725736864</c:v>
                      </c:pt>
                      <c:pt idx="29">
                        <c:v>0.13194103880712355</c:v>
                      </c:pt>
                      <c:pt idx="30">
                        <c:v>0.13149632599099428</c:v>
                      </c:pt>
                      <c:pt idx="31">
                        <c:v>0.13108469629942182</c:v>
                      </c:pt>
                      <c:pt idx="32">
                        <c:v>0.13069083942811774</c:v>
                      </c:pt>
                      <c:pt idx="33">
                        <c:v>0.13029897656500489</c:v>
                      </c:pt>
                      <c:pt idx="34">
                        <c:v>0.12989291771840486</c:v>
                      </c:pt>
                      <c:pt idx="35">
                        <c:v>0.12945616685965042</c:v>
                      </c:pt>
                      <c:pt idx="36">
                        <c:v>0.1289722016650735</c:v>
                      </c:pt>
                      <c:pt idx="37">
                        <c:v>0.12842480020400729</c:v>
                      </c:pt>
                      <c:pt idx="38">
                        <c:v>0.1277984705820458</c:v>
                      </c:pt>
                      <c:pt idx="39">
                        <c:v>0.12707893631801342</c:v>
                      </c:pt>
                      <c:pt idx="40">
                        <c:v>0.12625360657684834</c:v>
                      </c:pt>
                      <c:pt idx="41">
                        <c:v>0.12531196905346667</c:v>
                      </c:pt>
                      <c:pt idx="42">
                        <c:v>0.12424589958392421</c:v>
                      </c:pt>
                      <c:pt idx="43">
                        <c:v>0.12304978592427718</c:v>
                      </c:pt>
                      <c:pt idx="44">
                        <c:v>0.12172050743563372</c:v>
                      </c:pt>
                      <c:pt idx="45">
                        <c:v>0.12025725810189197</c:v>
                      </c:pt>
                      <c:pt idx="46">
                        <c:v>0.1186612797062275</c:v>
                      </c:pt>
                      <c:pt idx="47">
                        <c:v>0.11693548420471482</c:v>
                      </c:pt>
                      <c:pt idx="48">
                        <c:v>0.11508410030936904</c:v>
                      </c:pt>
                      <c:pt idx="49">
                        <c:v>0.1131123133645402</c:v>
                      </c:pt>
                      <c:pt idx="50">
                        <c:v>0.11102595533478657</c:v>
                      </c:pt>
                      <c:pt idx="51">
                        <c:v>0.10883123204146389</c:v>
                      </c:pt>
                      <c:pt idx="52">
                        <c:v>0.10653453710788321</c:v>
                      </c:pt>
                      <c:pt idx="53">
                        <c:v>0.10414228656102281</c:v>
                      </c:pt>
                      <c:pt idx="54">
                        <c:v>0.10166082838402207</c:v>
                      </c:pt>
                      <c:pt idx="55">
                        <c:v>9.9096376662280508E-2</c:v>
                      </c:pt>
                      <c:pt idx="56">
                        <c:v>9.6454964197194057E-2</c:v>
                      </c:pt>
                      <c:pt idx="57">
                        <c:v>9.374244082101528E-2</c:v>
                      </c:pt>
                      <c:pt idx="58">
                        <c:v>9.0964455568397093E-2</c:v>
                      </c:pt>
                      <c:pt idx="59">
                        <c:v>8.8126484921368375E-2</c:v>
                      </c:pt>
                      <c:pt idx="60">
                        <c:v>8.5233823812388476E-2</c:v>
                      </c:pt>
                      <c:pt idx="61">
                        <c:v>8.2291613836845412E-2</c:v>
                      </c:pt>
                      <c:pt idx="62">
                        <c:v>7.9304843744099712E-2</c:v>
                      </c:pt>
                      <c:pt idx="63">
                        <c:v>7.6278378817650982E-2</c:v>
                      </c:pt>
                      <c:pt idx="64">
                        <c:v>7.3216953598506454E-2</c:v>
                      </c:pt>
                      <c:pt idx="65">
                        <c:v>7.0125188546747583E-2</c:v>
                      </c:pt>
                      <c:pt idx="66">
                        <c:v>6.7007591550866108E-2</c:v>
                      </c:pt>
                      <c:pt idx="67">
                        <c:v>6.3868560919416784E-2</c:v>
                      </c:pt>
                      <c:pt idx="68">
                        <c:v>6.0712377567207085E-2</c:v>
                      </c:pt>
                      <c:pt idx="69">
                        <c:v>5.7543212722452976E-2</c:v>
                      </c:pt>
                      <c:pt idx="70">
                        <c:v>5.4365110808910197E-2</c:v>
                      </c:pt>
                      <c:pt idx="71">
                        <c:v>5.1181994033095528E-2</c:v>
                      </c:pt>
                      <c:pt idx="72">
                        <c:v>4.7997645535183223E-2</c:v>
                      </c:pt>
                      <c:pt idx="73">
                        <c:v>4.4815707121575649E-2</c:v>
                      </c:pt>
                      <c:pt idx="74">
                        <c:v>4.1639669925005035E-2</c:v>
                      </c:pt>
                      <c:pt idx="75">
                        <c:v>3.8472866878327974E-2</c:v>
                      </c:pt>
                      <c:pt idx="76">
                        <c:v>3.531846581231559E-2</c:v>
                      </c:pt>
                      <c:pt idx="77">
                        <c:v>3.2179463429626999E-2</c:v>
                      </c:pt>
                      <c:pt idx="78">
                        <c:v>2.9058681003528198E-2</c:v>
                      </c:pt>
                      <c:pt idx="79">
                        <c:v>2.5958758159038673E-2</c:v>
                      </c:pt>
                      <c:pt idx="80">
                        <c:v>2.2882154450083271E-2</c:v>
                      </c:pt>
                      <c:pt idx="81">
                        <c:v>1.9831144353500633E-2</c:v>
                      </c:pt>
                      <c:pt idx="82">
                        <c:v>1.6807820588151057E-2</c:v>
                      </c:pt>
                      <c:pt idx="83">
                        <c:v>1.3814093035578462E-2</c:v>
                      </c:pt>
                      <c:pt idx="84">
                        <c:v>1.0851693752525203E-2</c:v>
                      </c:pt>
                      <c:pt idx="85">
                        <c:v>7.9221786110799993E-3</c:v>
                      </c:pt>
                      <c:pt idx="86">
                        <c:v>5.0269343387432663E-3</c:v>
                      </c:pt>
                      <c:pt idx="87">
                        <c:v>2.1671821480114045E-3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C980-461A-8344-9DDED7A311F4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v>B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Plot!$E$5:$E$300</c15:sqref>
                        </c15:formulaRef>
                      </c:ext>
                    </c:extLst>
                    <c:numCache>
                      <c:formatCode>Geral</c:formatCode>
                      <c:ptCount val="3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Plot!$G$5:$G$300</c15:sqref>
                        </c15:formulaRef>
                      </c:ext>
                    </c:extLst>
                    <c:numCache>
                      <c:formatCode>Geral</c:formatCode>
                      <c:ptCount val="35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980-461A-8344-9DDED7A311F4}"/>
                  </c:ext>
                </c:extLst>
              </c15:ser>
            </c15:filteredScatterSeries>
          </c:ext>
        </c:extLst>
      </c:scatterChart>
      <c:valAx>
        <c:axId val="4326697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Xa (3)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9074352"/>
        <c:crosses val="autoZero"/>
        <c:crossBetween val="midCat"/>
      </c:valAx>
      <c:valAx>
        <c:axId val="239074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Xb</a:t>
                </a:r>
                <a:r>
                  <a:rPr lang="pt-BR" baseline="0"/>
                  <a:t> (</a:t>
                </a:r>
                <a:r>
                  <a:rPr lang="pt-BR"/>
                  <a:t>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2669792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chemeClr val="tx1"/>
                </a:solidFill>
              </a:rPr>
              <a:t> Ternary</a:t>
            </a:r>
            <a:r>
              <a:rPr lang="pt-BR" b="1" baseline="0">
                <a:solidFill>
                  <a:schemeClr val="tx1"/>
                </a:solidFill>
              </a:rPr>
              <a:t> Diagram</a:t>
            </a:r>
            <a:endParaRPr lang="pt-BR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Results!$B$5:$B$300</c:f>
              <c:numCache>
                <c:formatCode>0,000</c:formatCode>
                <c:ptCount val="296"/>
                <c:pt idx="0">
                  <c:v>0.71031249251775019</c:v>
                </c:pt>
                <c:pt idx="1">
                  <c:v>0.70401309511684407</c:v>
                </c:pt>
                <c:pt idx="2">
                  <c:v>0.69887234001089638</c:v>
                </c:pt>
                <c:pt idx="3">
                  <c:v>0.69539953456630144</c:v>
                </c:pt>
                <c:pt idx="4">
                  <c:v>0.69372364604412284</c:v>
                </c:pt>
                <c:pt idx="5">
                  <c:v>0.69372866440007086</c:v>
                </c:pt>
                <c:pt idx="6">
                  <c:v>0.69521096268619897</c:v>
                </c:pt>
                <c:pt idx="7">
                  <c:v>0.69796640308158275</c:v>
                </c:pt>
                <c:pt idx="8">
                  <c:v>0.70182010003651241</c:v>
                </c:pt>
                <c:pt idx="9">
                  <c:v>0.70662935651596204</c:v>
                </c:pt>
                <c:pt idx="10">
                  <c:v>0.71228306339902581</c:v>
                </c:pt>
                <c:pt idx="11">
                  <c:v>0.70592211322764153</c:v>
                </c:pt>
                <c:pt idx="12">
                  <c:v>0.69161638741255427</c:v>
                </c:pt>
                <c:pt idx="13">
                  <c:v>0.67789916681204965</c:v>
                </c:pt>
                <c:pt idx="14">
                  <c:v>0.66468337376249131</c:v>
                </c:pt>
                <c:pt idx="15">
                  <c:v>0.65189879416859287</c:v>
                </c:pt>
                <c:pt idx="16">
                  <c:v>0.63948824547539673</c:v>
                </c:pt>
                <c:pt idx="17">
                  <c:v>0.62740474128262813</c:v>
                </c:pt>
                <c:pt idx="18">
                  <c:v>0.6156093699776275</c:v>
                </c:pt>
                <c:pt idx="19">
                  <c:v>0.60406968920469217</c:v>
                </c:pt>
                <c:pt idx="20">
                  <c:v>0.59275849702574968</c:v>
                </c:pt>
                <c:pt idx="21">
                  <c:v>0.5816528813484223</c:v>
                </c:pt>
                <c:pt idx="22">
                  <c:v>0.57073347729368384</c:v>
                </c:pt>
                <c:pt idx="23">
                  <c:v>0.55998388168311353</c:v>
                </c:pt>
                <c:pt idx="24">
                  <c:v>0.54939018749382429</c:v>
                </c:pt>
                <c:pt idx="25">
                  <c:v>0.53894061080055722</c:v>
                </c:pt>
                <c:pt idx="26">
                  <c:v>0.52862518963686767</c:v>
                </c:pt>
                <c:pt idx="27">
                  <c:v>0.51843553919429852</c:v>
                </c:pt>
                <c:pt idx="28">
                  <c:v>0.50836465140673448</c:v>
                </c:pt>
                <c:pt idx="29">
                  <c:v>0.49840672962678001</c:v>
                </c:pt>
                <c:pt idx="30">
                  <c:v>0.48855705106381753</c:v>
                </c:pt>
                <c:pt idx="31">
                  <c:v>0.47881185111294011</c:v>
                </c:pt>
                <c:pt idx="32">
                  <c:v>0.46916822480258213</c:v>
                </c:pt>
                <c:pt idx="33">
                  <c:v>0.45962404143423152</c:v>
                </c:pt>
                <c:pt idx="34">
                  <c:v>0.45017786916686792</c:v>
                </c:pt>
                <c:pt idx="35">
                  <c:v>0.44082890688160614</c:v>
                </c:pt>
                <c:pt idx="36">
                  <c:v>0.43157692120419133</c:v>
                </c:pt>
                <c:pt idx="37">
                  <c:v>0.42242218710187052</c:v>
                </c:pt>
                <c:pt idx="38">
                  <c:v>0.41336543101928308</c:v>
                </c:pt>
                <c:pt idx="39">
                  <c:v>0.40440777605869277</c:v>
                </c:pt>
                <c:pt idx="40">
                  <c:v>0.39555068919671366</c:v>
                </c:pt>
                <c:pt idx="41">
                  <c:v>0.38679593089974257</c:v>
                </c:pt>
                <c:pt idx="42">
                  <c:v>0.37814550769564237</c:v>
                </c:pt>
                <c:pt idx="43">
                  <c:v>0.36960162825315201</c:v>
                </c:pt>
                <c:pt idx="44">
                  <c:v>0.36116666333352659</c:v>
                </c:pt>
                <c:pt idx="45">
                  <c:v>0.3528431096768016</c:v>
                </c:pt>
                <c:pt idx="46">
                  <c:v>0.3446335575563822</c:v>
                </c:pt>
                <c:pt idx="47">
                  <c:v>0.33654066146306716</c:v>
                </c:pt>
                <c:pt idx="48">
                  <c:v>0.3285671132153905</c:v>
                </c:pt>
                <c:pt idx="49">
                  <c:v>0.32071561675249982</c:v>
                </c:pt>
                <c:pt idx="50">
                  <c:v>0.31298886393192915</c:v>
                </c:pt>
                <c:pt idx="51">
                  <c:v>0.30538951079447602</c:v>
                </c:pt>
                <c:pt idx="52">
                  <c:v>0.29792015393545146</c:v>
                </c:pt>
                <c:pt idx="53">
                  <c:v>0.2905833068055223</c:v>
                </c:pt>
                <c:pt idx="54">
                  <c:v>0.28338137593441243</c:v>
                </c:pt>
                <c:pt idx="55">
                  <c:v>0.27631663721519051</c:v>
                </c:pt>
                <c:pt idx="56">
                  <c:v>0.26939121250075843</c:v>
                </c:pt>
                <c:pt idx="57">
                  <c:v>0.26260704684678049</c:v>
                </c:pt>
                <c:pt idx="58">
                  <c:v>0.25596588678814292</c:v>
                </c:pt>
                <c:pt idx="59">
                  <c:v>0.24946926006139167</c:v>
                </c:pt>
                <c:pt idx="60">
                  <c:v>0.24311845718622455</c:v>
                </c:pt>
                <c:pt idx="61">
                  <c:v>0.23691451529765922</c:v>
                </c:pt>
                <c:pt idx="62">
                  <c:v>0.23085820457987002</c:v>
                </c:pt>
                <c:pt idx="63">
                  <c:v>0.22495001759589606</c:v>
                </c:pt>
                <c:pt idx="64">
                  <c:v>0.21919016173784303</c:v>
                </c:pt>
                <c:pt idx="65">
                  <c:v>0.21357855494345507</c:v>
                </c:pt>
                <c:pt idx="66">
                  <c:v>0.20811482474091231</c:v>
                </c:pt>
                <c:pt idx="67">
                  <c:v>0.20279831059836723</c:v>
                </c:pt>
                <c:pt idx="68">
                  <c:v>0.19762806947198303</c:v>
                </c:pt>
                <c:pt idx="69">
                  <c:v>0.19260288436954004</c:v>
                </c:pt>
                <c:pt idx="70">
                  <c:v>0.18772127567947922</c:v>
                </c:pt>
                <c:pt idx="71">
                  <c:v>0.18298151495878667</c:v>
                </c:pt>
                <c:pt idx="72">
                  <c:v>0.17838164083210367</c:v>
                </c:pt>
                <c:pt idx="73">
                  <c:v>0.17391947662399532</c:v>
                </c:pt>
                <c:pt idx="74">
                  <c:v>0.16959264933386686</c:v>
                </c:pt>
                <c:pt idx="75">
                  <c:v>0.16539860956125177</c:v>
                </c:pt>
                <c:pt idx="76">
                  <c:v>0.16133465200092934</c:v>
                </c:pt>
                <c:pt idx="77">
                  <c:v>0.15739793614932018</c:v>
                </c:pt>
                <c:pt idx="78">
                  <c:v>0.15358550684091596</c:v>
                </c:pt>
                <c:pt idx="79">
                  <c:v>0.14989431457738472</c:v>
                </c:pt>
                <c:pt idx="80">
                  <c:v>0.1463212347517166</c:v>
                </c:pt>
                <c:pt idx="81">
                  <c:v>0.14286308669283962</c:v>
                </c:pt>
                <c:pt idx="82">
                  <c:v>0.13951665067156346</c:v>
                </c:pt>
                <c:pt idx="83">
                  <c:v>0.13627868513146679</c:v>
                </c:pt>
                <c:pt idx="84">
                  <c:v>0.13314594068595778</c:v>
                </c:pt>
                <c:pt idx="85">
                  <c:v>0.13011517559561361</c:v>
                </c:pt>
                <c:pt idx="86">
                  <c:v>0.12718316592533424</c:v>
                </c:pt>
                <c:pt idx="87">
                  <c:v>0.12434671930039887</c:v>
                </c:pt>
              </c:numCache>
              <c:extLst xmlns:c15="http://schemas.microsoft.com/office/drawing/2012/chart"/>
            </c:numRef>
          </c:xVal>
          <c:yVal>
            <c:numRef>
              <c:f>Results!$D$5:$D$300</c:f>
              <c:numCache>
                <c:formatCode>0,000</c:formatCode>
                <c:ptCount val="296"/>
                <c:pt idx="0">
                  <c:v>0.28958750748224982</c:v>
                </c:pt>
                <c:pt idx="1">
                  <c:v>0.28588690488315593</c:v>
                </c:pt>
                <c:pt idx="2">
                  <c:v>0.28102765998910362</c:v>
                </c:pt>
                <c:pt idx="3">
                  <c:v>0.27450046543369855</c:v>
                </c:pt>
                <c:pt idx="4">
                  <c:v>0.26617635395587713</c:v>
                </c:pt>
                <c:pt idx="5">
                  <c:v>0.25617133559992911</c:v>
                </c:pt>
                <c:pt idx="6">
                  <c:v>0.24468903731380101</c:v>
                </c:pt>
                <c:pt idx="7">
                  <c:v>0.23193359691841725</c:v>
                </c:pt>
                <c:pt idx="8">
                  <c:v>0.21807989996348759</c:v>
                </c:pt>
                <c:pt idx="9">
                  <c:v>0.20327064348403795</c:v>
                </c:pt>
                <c:pt idx="10">
                  <c:v>0.1876169366009742</c:v>
                </c:pt>
                <c:pt idx="11">
                  <c:v>0.18397788677235849</c:v>
                </c:pt>
                <c:pt idx="12">
                  <c:v>0.18828361258744575</c:v>
                </c:pt>
                <c:pt idx="13">
                  <c:v>0.19200083318795036</c:v>
                </c:pt>
                <c:pt idx="14">
                  <c:v>0.19521662623750868</c:v>
                </c:pt>
                <c:pt idx="15">
                  <c:v>0.19800120583140712</c:v>
                </c:pt>
                <c:pt idx="16">
                  <c:v>0.20041175452460325</c:v>
                </c:pt>
                <c:pt idx="17">
                  <c:v>0.20249525871737184</c:v>
                </c:pt>
                <c:pt idx="18">
                  <c:v>0.20429063002237247</c:v>
                </c:pt>
                <c:pt idx="19">
                  <c:v>0.20583031079530778</c:v>
                </c:pt>
                <c:pt idx="20">
                  <c:v>0.20714150297425027</c:v>
                </c:pt>
                <c:pt idx="21">
                  <c:v>0.20824711865157763</c:v>
                </c:pt>
                <c:pt idx="22">
                  <c:v>0.20916652270631608</c:v>
                </c:pt>
                <c:pt idx="23">
                  <c:v>0.20991611831688639</c:v>
                </c:pt>
                <c:pt idx="24">
                  <c:v>0.21050981250617562</c:v>
                </c:pt>
                <c:pt idx="25">
                  <c:v>0.21095938919944268</c:v>
                </c:pt>
                <c:pt idx="26">
                  <c:v>0.21127481036313223</c:v>
                </c:pt>
                <c:pt idx="27">
                  <c:v>0.21146446080570136</c:v>
                </c:pt>
                <c:pt idx="28">
                  <c:v>0.21153534859326539</c:v>
                </c:pt>
                <c:pt idx="29">
                  <c:v>0.21149327037321985</c:v>
                </c:pt>
                <c:pt idx="30">
                  <c:v>0.21134294893618233</c:v>
                </c:pt>
                <c:pt idx="31">
                  <c:v>0.21108814888705973</c:v>
                </c:pt>
                <c:pt idx="32">
                  <c:v>0.2107317751974177</c:v>
                </c:pt>
                <c:pt idx="33">
                  <c:v>0.21027595856576831</c:v>
                </c:pt>
                <c:pt idx="34">
                  <c:v>0.2097221308331319</c:v>
                </c:pt>
                <c:pt idx="35">
                  <c:v>0.20907109311839367</c:v>
                </c:pt>
                <c:pt idx="36">
                  <c:v>0.20832307879580847</c:v>
                </c:pt>
                <c:pt idx="37">
                  <c:v>0.20747781289812928</c:v>
                </c:pt>
                <c:pt idx="38">
                  <c:v>0.2065345689807167</c:v>
                </c:pt>
                <c:pt idx="39">
                  <c:v>0.20549222394130701</c:v>
                </c:pt>
                <c:pt idx="40">
                  <c:v>0.20434931080328611</c:v>
                </c:pt>
                <c:pt idx="41">
                  <c:v>0.20310406910025719</c:v>
                </c:pt>
                <c:pt idx="42">
                  <c:v>0.20175449230435738</c:v>
                </c:pt>
                <c:pt idx="43">
                  <c:v>0.20029837174684773</c:v>
                </c:pt>
                <c:pt idx="44">
                  <c:v>0.19873333666647314</c:v>
                </c:pt>
                <c:pt idx="45">
                  <c:v>0.19705689032319812</c:v>
                </c:pt>
                <c:pt idx="46">
                  <c:v>0.19526644244361752</c:v>
                </c:pt>
                <c:pt idx="47">
                  <c:v>0.19335933853693255</c:v>
                </c:pt>
                <c:pt idx="48">
                  <c:v>0.19133288678460919</c:v>
                </c:pt>
                <c:pt idx="49">
                  <c:v>0.18918438324749987</c:v>
                </c:pt>
                <c:pt idx="50">
                  <c:v>0.18691113606807053</c:v>
                </c:pt>
                <c:pt idx="51">
                  <c:v>0.18451048920552365</c:v>
                </c:pt>
                <c:pt idx="52">
                  <c:v>0.1819798460645482</c:v>
                </c:pt>
                <c:pt idx="53">
                  <c:v>0.17931669319447735</c:v>
                </c:pt>
                <c:pt idx="54">
                  <c:v>0.17651862406558722</c:v>
                </c:pt>
                <c:pt idx="55">
                  <c:v>0.17358336278480913</c:v>
                </c:pt>
                <c:pt idx="56">
                  <c:v>0.1705087874992412</c:v>
                </c:pt>
                <c:pt idx="57">
                  <c:v>0.16729295315321913</c:v>
                </c:pt>
                <c:pt idx="58">
                  <c:v>0.16393411321185669</c:v>
                </c:pt>
                <c:pt idx="59">
                  <c:v>0.16043073993860793</c:v>
                </c:pt>
                <c:pt idx="60">
                  <c:v>0.15678154281377504</c:v>
                </c:pt>
                <c:pt idx="61">
                  <c:v>0.15298548470234036</c:v>
                </c:pt>
                <c:pt idx="62">
                  <c:v>0.14904179542012955</c:v>
                </c:pt>
                <c:pt idx="63">
                  <c:v>0.14494998240410351</c:v>
                </c:pt>
                <c:pt idx="64">
                  <c:v>0.14070983826215652</c:v>
                </c:pt>
                <c:pt idx="65">
                  <c:v>0.13632144505654448</c:v>
                </c:pt>
                <c:pt idx="66">
                  <c:v>0.13178517525908723</c:v>
                </c:pt>
                <c:pt idx="67">
                  <c:v>0.1271016894016323</c:v>
                </c:pt>
                <c:pt idx="68">
                  <c:v>0.12227193052801649</c:v>
                </c:pt>
                <c:pt idx="69">
                  <c:v>0.11729711563045947</c:v>
                </c:pt>
                <c:pt idx="70">
                  <c:v>0.11217872432052028</c:v>
                </c:pt>
                <c:pt idx="71">
                  <c:v>0.10691848504121282</c:v>
                </c:pt>
                <c:pt idx="72">
                  <c:v>0.10151835916789581</c:v>
                </c:pt>
                <c:pt idx="73">
                  <c:v>9.5980523376004157E-2</c:v>
                </c:pt>
                <c:pt idx="74">
                  <c:v>9.0307350666132602E-2</c:v>
                </c:pt>
                <c:pt idx="75">
                  <c:v>8.4501390438747687E-2</c:v>
                </c:pt>
                <c:pt idx="76">
                  <c:v>7.8565347999070112E-2</c:v>
                </c:pt>
                <c:pt idx="77">
                  <c:v>7.2502063850679255E-2</c:v>
                </c:pt>
                <c:pt idx="78">
                  <c:v>6.6314493159083471E-2</c:v>
                </c:pt>
                <c:pt idx="79">
                  <c:v>6.0005685422614696E-2</c:v>
                </c:pt>
                <c:pt idx="80">
                  <c:v>5.3578765248282811E-2</c:v>
                </c:pt>
                <c:pt idx="81">
                  <c:v>4.7036913307159783E-2</c:v>
                </c:pt>
                <c:pt idx="82">
                  <c:v>4.038334932843593E-2</c:v>
                </c:pt>
                <c:pt idx="83">
                  <c:v>3.3621314868532592E-2</c:v>
                </c:pt>
                <c:pt idx="84">
                  <c:v>2.6754059314041595E-2</c:v>
                </c:pt>
                <c:pt idx="85">
                  <c:v>1.9784824404385754E-2</c:v>
                </c:pt>
                <c:pt idx="86">
                  <c:v>1.2716834074665118E-2</c:v>
                </c:pt>
                <c:pt idx="87">
                  <c:v>5.5532806996004824E-3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A8C-4DFF-A0F5-762DA6BD2CDF}"/>
            </c:ext>
          </c:extLst>
        </c:ser>
        <c:ser>
          <c:idx val="1"/>
          <c:order val="1"/>
          <c:tx>
            <c:v>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Results!$E$5:$E$300</c:f>
              <c:numCache>
                <c:formatCode>0,000</c:formatCode>
                <c:ptCount val="296"/>
                <c:pt idx="0">
                  <c:v>0.71031248289580451</c:v>
                </c:pt>
                <c:pt idx="1">
                  <c:v>0.70401311694473634</c:v>
                </c:pt>
                <c:pt idx="2">
                  <c:v>0.69887237632157417</c:v>
                </c:pt>
                <c:pt idx="3">
                  <c:v>0.69539958200341456</c:v>
                </c:pt>
                <c:pt idx="4">
                  <c:v>0.69372369635113817</c:v>
                </c:pt>
                <c:pt idx="5">
                  <c:v>0.69372872544987918</c:v>
                </c:pt>
                <c:pt idx="6">
                  <c:v>0.6952110288809692</c:v>
                </c:pt>
                <c:pt idx="7">
                  <c:v>0.69796649291311919</c:v>
                </c:pt>
                <c:pt idx="8">
                  <c:v>0.70182023327860832</c:v>
                </c:pt>
                <c:pt idx="9">
                  <c:v>0.70662956850638825</c:v>
                </c:pt>
                <c:pt idx="10">
                  <c:v>0.71228383203721757</c:v>
                </c:pt>
                <c:pt idx="11">
                  <c:v>0.75585302013375655</c:v>
                </c:pt>
                <c:pt idx="12">
                  <c:v>0.76594613797028321</c:v>
                </c:pt>
                <c:pt idx="13">
                  <c:v>0.77438776449110169</c:v>
                </c:pt>
                <c:pt idx="14">
                  <c:v>0.78153394240651397</c:v>
                </c:pt>
                <c:pt idx="15">
                  <c:v>0.78763766938659274</c:v>
                </c:pt>
                <c:pt idx="16">
                  <c:v>0.79288566782308467</c:v>
                </c:pt>
                <c:pt idx="17">
                  <c:v>0.7974209270727578</c:v>
                </c:pt>
                <c:pt idx="18">
                  <c:v>0.80135142040388063</c:v>
                </c:pt>
                <c:pt idx="19">
                  <c:v>0.80476630612349997</c:v>
                </c:pt>
                <c:pt idx="20">
                  <c:v>0.80773679716603797</c:v>
                </c:pt>
                <c:pt idx="21">
                  <c:v>0.8103216544510301</c:v>
                </c:pt>
                <c:pt idx="22">
                  <c:v>0.8125703682983747</c:v>
                </c:pt>
                <c:pt idx="23">
                  <c:v>0.81452530870141737</c:v>
                </c:pt>
                <c:pt idx="24">
                  <c:v>0.81622355006486491</c:v>
                </c:pt>
                <c:pt idx="25">
                  <c:v>0.81769819801010513</c:v>
                </c:pt>
                <c:pt idx="26">
                  <c:v>0.81897945920625337</c:v>
                </c:pt>
                <c:pt idx="27">
                  <c:v>0.82009557634944064</c:v>
                </c:pt>
                <c:pt idx="28">
                  <c:v>0.82107354780753661</c:v>
                </c:pt>
                <c:pt idx="29">
                  <c:v>0.82193972488881761</c:v>
                </c:pt>
                <c:pt idx="30">
                  <c:v>0.82272035444276093</c:v>
                </c:pt>
                <c:pt idx="31">
                  <c:v>0.82344192546718498</c:v>
                </c:pt>
                <c:pt idx="32">
                  <c:v>0.82413146533558579</c:v>
                </c:pt>
                <c:pt idx="33">
                  <c:v>0.8248166231545413</c:v>
                </c:pt>
                <c:pt idx="34">
                  <c:v>0.8255255645962376</c:v>
                </c:pt>
                <c:pt idx="35">
                  <c:v>0.82628675968642684</c:v>
                </c:pt>
                <c:pt idx="36">
                  <c:v>0.82712841760570466</c:v>
                </c:pt>
                <c:pt idx="37">
                  <c:v>0.82807782436105404</c:v>
                </c:pt>
                <c:pt idx="38">
                  <c:v>0.82916048019141653</c:v>
                </c:pt>
                <c:pt idx="39">
                  <c:v>0.83039913891953143</c:v>
                </c:pt>
                <c:pt idx="40">
                  <c:v>0.83181289821931892</c:v>
                </c:pt>
                <c:pt idx="41">
                  <c:v>0.83341647103911021</c:v>
                </c:pt>
                <c:pt idx="42">
                  <c:v>0.83521965603995296</c:v>
                </c:pt>
                <c:pt idx="43">
                  <c:v>0.83722720534881057</c:v>
                </c:pt>
                <c:pt idx="44">
                  <c:v>0.83943900176171105</c:v>
                </c:pt>
                <c:pt idx="45">
                  <c:v>0.84185055670592346</c:v>
                </c:pt>
                <c:pt idx="46">
                  <c:v>0.84445368548438493</c:v>
                </c:pt>
                <c:pt idx="47">
                  <c:v>0.84723738240596025</c:v>
                </c:pt>
                <c:pt idx="48">
                  <c:v>0.8501886275134054</c:v>
                </c:pt>
                <c:pt idx="49">
                  <c:v>0.85329317532354121</c:v>
                </c:pt>
                <c:pt idx="50">
                  <c:v>0.85653621572838934</c:v>
                </c:pt>
                <c:pt idx="51">
                  <c:v>0.85990293160673836</c:v>
                </c:pt>
                <c:pt idx="52">
                  <c:v>0.86337886689413423</c:v>
                </c:pt>
                <c:pt idx="53">
                  <c:v>0.86695023144974237</c:v>
                </c:pt>
                <c:pt idx="54">
                  <c:v>0.87060405032415322</c:v>
                </c:pt>
                <c:pt idx="55">
                  <c:v>0.87432825473080777</c:v>
                </c:pt>
                <c:pt idx="56">
                  <c:v>0.87811172971050122</c:v>
                </c:pt>
                <c:pt idx="57">
                  <c:v>0.88194427482144433</c:v>
                </c:pt>
                <c:pt idx="58">
                  <c:v>0.88581658972029287</c:v>
                </c:pt>
                <c:pt idx="59">
                  <c:v>0.88972017806348402</c:v>
                </c:pt>
                <c:pt idx="60">
                  <c:v>0.89364731594966074</c:v>
                </c:pt>
                <c:pt idx="61">
                  <c:v>0.89759095678024148</c:v>
                </c:pt>
                <c:pt idx="62">
                  <c:v>0.90154468497441953</c:v>
                </c:pt>
                <c:pt idx="63">
                  <c:v>0.90550262203561283</c:v>
                </c:pt>
                <c:pt idx="64">
                  <c:v>0.90945939645875629</c:v>
                </c:pt>
                <c:pt idx="65">
                  <c:v>0.91341007469170554</c:v>
                </c:pt>
                <c:pt idx="66">
                  <c:v>0.91735011940510147</c:v>
                </c:pt>
                <c:pt idx="67">
                  <c:v>0.92127534691003388</c:v>
                </c:pt>
                <c:pt idx="68">
                  <c:v>0.92518190431453573</c:v>
                </c:pt>
                <c:pt idx="69">
                  <c:v>0.9290662225134918</c:v>
                </c:pt>
                <c:pt idx="70">
                  <c:v>0.93292501244017711</c:v>
                </c:pt>
                <c:pt idx="71">
                  <c:v>0.93675522696835145</c:v>
                </c:pt>
                <c:pt idx="72">
                  <c:v>0.9405540606449394</c:v>
                </c:pt>
                <c:pt idx="73">
                  <c:v>0.94431892716733978</c:v>
                </c:pt>
                <c:pt idx="74">
                  <c:v>0.94804745090007592</c:v>
                </c:pt>
                <c:pt idx="75">
                  <c:v>0.95173745766672613</c:v>
                </c:pt>
                <c:pt idx="76">
                  <c:v>0.95538696686629176</c:v>
                </c:pt>
                <c:pt idx="77">
                  <c:v>0.95899418452522078</c:v>
                </c:pt>
                <c:pt idx="78">
                  <c:v>0.96255749578736305</c:v>
                </c:pt>
                <c:pt idx="79">
                  <c:v>0.96607546334579397</c:v>
                </c:pt>
                <c:pt idx="80">
                  <c:v>0.9695468143900734</c:v>
                </c:pt>
                <c:pt idx="81">
                  <c:v>0.97297044172882319</c:v>
                </c:pt>
                <c:pt idx="82">
                  <c:v>0.97634539213765636</c:v>
                </c:pt>
                <c:pt idx="83">
                  <c:v>0.97967086486962462</c:v>
                </c:pt>
                <c:pt idx="84">
                  <c:v>0.98294620099136876</c:v>
                </c:pt>
                <c:pt idx="85">
                  <c:v>0.98617088066176795</c:v>
                </c:pt>
                <c:pt idx="86">
                  <c:v>0.98934451223451814</c:v>
                </c:pt>
                <c:pt idx="87">
                  <c:v>0.99246682879536241</c:v>
                </c:pt>
              </c:numCache>
              <c:extLst xmlns:c15="http://schemas.microsoft.com/office/drawing/2012/chart"/>
            </c:numRef>
          </c:xVal>
          <c:yVal>
            <c:numRef>
              <c:f>Results!$G$5:$G$300</c:f>
              <c:numCache>
                <c:formatCode>0,000</c:formatCode>
                <c:ptCount val="296"/>
                <c:pt idx="0">
                  <c:v>0.28958751708408198</c:v>
                </c:pt>
                <c:pt idx="1">
                  <c:v>0.28588688582483385</c:v>
                </c:pt>
                <c:pt idx="2">
                  <c:v>0.28102763105490575</c:v>
                </c:pt>
                <c:pt idx="3">
                  <c:v>0.27450043063544627</c:v>
                </c:pt>
                <c:pt idx="4">
                  <c:v>0.26617631996389374</c:v>
                </c:pt>
                <c:pt idx="5">
                  <c:v>0.25617129771914521</c:v>
                </c:pt>
                <c:pt idx="6">
                  <c:v>0.24468899978622843</c:v>
                </c:pt>
                <c:pt idx="7">
                  <c:v>0.23193355068167471</c:v>
                </c:pt>
                <c:pt idx="8">
                  <c:v>0.21807983815722726</c:v>
                </c:pt>
                <c:pt idx="9">
                  <c:v>0.20327055559748833</c:v>
                </c:pt>
                <c:pt idx="10">
                  <c:v>0.18761665447790651</c:v>
                </c:pt>
                <c:pt idx="11">
                  <c:v>0.16532331378496284</c:v>
                </c:pt>
                <c:pt idx="12">
                  <c:v>0.16084940193809397</c:v>
                </c:pt>
                <c:pt idx="13">
                  <c:v>0.15692642102285331</c:v>
                </c:pt>
                <c:pt idx="14">
                  <c:v>0.15347813748281269</c:v>
                </c:pt>
                <c:pt idx="15">
                  <c:v>0.15044193034089007</c:v>
                </c:pt>
                <c:pt idx="16">
                  <c:v>0.14776567201900109</c:v>
                </c:pt>
                <c:pt idx="17">
                  <c:v>0.14540503924908835</c:v>
                </c:pt>
                <c:pt idx="18">
                  <c:v>0.14332406033462722</c:v>
                </c:pt>
                <c:pt idx="19">
                  <c:v>0.1414903200256786</c:v>
                </c:pt>
                <c:pt idx="20">
                  <c:v>0.13987630919584937</c:v>
                </c:pt>
                <c:pt idx="21">
                  <c:v>0.13845798170765933</c:v>
                </c:pt>
                <c:pt idx="22">
                  <c:v>0.13721399760077502</c:v>
                </c:pt>
                <c:pt idx="23">
                  <c:v>0.13612520572120212</c:v>
                </c:pt>
                <c:pt idx="24">
                  <c:v>0.13517411387202743</c:v>
                </c:pt>
                <c:pt idx="25">
                  <c:v>0.13434448825011938</c:v>
                </c:pt>
                <c:pt idx="26">
                  <c:v>0.13362100183412512</c:v>
                </c:pt>
                <c:pt idx="27">
                  <c:v>0.1329888953058154</c:v>
                </c:pt>
                <c:pt idx="28">
                  <c:v>0.13243370725736864</c:v>
                </c:pt>
                <c:pt idx="29">
                  <c:v>0.13194103880712355</c:v>
                </c:pt>
                <c:pt idx="30">
                  <c:v>0.13149632599099428</c:v>
                </c:pt>
                <c:pt idx="31">
                  <c:v>0.13108469629942182</c:v>
                </c:pt>
                <c:pt idx="32">
                  <c:v>0.13069083942811774</c:v>
                </c:pt>
                <c:pt idx="33">
                  <c:v>0.13029897656500489</c:v>
                </c:pt>
                <c:pt idx="34">
                  <c:v>0.12989291771840486</c:v>
                </c:pt>
                <c:pt idx="35">
                  <c:v>0.12945616685965042</c:v>
                </c:pt>
                <c:pt idx="36">
                  <c:v>0.1289722016650735</c:v>
                </c:pt>
                <c:pt idx="37">
                  <c:v>0.12842480020400729</c:v>
                </c:pt>
                <c:pt idx="38">
                  <c:v>0.1277984705820458</c:v>
                </c:pt>
                <c:pt idx="39">
                  <c:v>0.12707893631801342</c:v>
                </c:pt>
                <c:pt idx="40">
                  <c:v>0.12625360657684834</c:v>
                </c:pt>
                <c:pt idx="41">
                  <c:v>0.12531196905346667</c:v>
                </c:pt>
                <c:pt idx="42">
                  <c:v>0.12424589958392421</c:v>
                </c:pt>
                <c:pt idx="43">
                  <c:v>0.12304978592427718</c:v>
                </c:pt>
                <c:pt idx="44">
                  <c:v>0.12172050743563372</c:v>
                </c:pt>
                <c:pt idx="45">
                  <c:v>0.12025725810189197</c:v>
                </c:pt>
                <c:pt idx="46">
                  <c:v>0.1186612797062275</c:v>
                </c:pt>
                <c:pt idx="47">
                  <c:v>0.11693548420471482</c:v>
                </c:pt>
                <c:pt idx="48">
                  <c:v>0.11508410030936904</c:v>
                </c:pt>
                <c:pt idx="49">
                  <c:v>0.1131123133645402</c:v>
                </c:pt>
                <c:pt idx="50">
                  <c:v>0.11102595533478657</c:v>
                </c:pt>
                <c:pt idx="51">
                  <c:v>0.10883123204146389</c:v>
                </c:pt>
                <c:pt idx="52">
                  <c:v>0.10653453710788321</c:v>
                </c:pt>
                <c:pt idx="53">
                  <c:v>0.10414228656102281</c:v>
                </c:pt>
                <c:pt idx="54">
                  <c:v>0.10166082838402207</c:v>
                </c:pt>
                <c:pt idx="55">
                  <c:v>9.9096376662280508E-2</c:v>
                </c:pt>
                <c:pt idx="56">
                  <c:v>9.6454964197194057E-2</c:v>
                </c:pt>
                <c:pt idx="57">
                  <c:v>9.374244082101528E-2</c:v>
                </c:pt>
                <c:pt idx="58">
                  <c:v>9.0964455568397093E-2</c:v>
                </c:pt>
                <c:pt idx="59">
                  <c:v>8.8126484921368375E-2</c:v>
                </c:pt>
                <c:pt idx="60">
                  <c:v>8.5233823812388476E-2</c:v>
                </c:pt>
                <c:pt idx="61">
                  <c:v>8.2291613836845412E-2</c:v>
                </c:pt>
                <c:pt idx="62">
                  <c:v>7.9304843744099712E-2</c:v>
                </c:pt>
                <c:pt idx="63">
                  <c:v>7.6278378817650982E-2</c:v>
                </c:pt>
                <c:pt idx="64">
                  <c:v>7.3216953598506454E-2</c:v>
                </c:pt>
                <c:pt idx="65">
                  <c:v>7.0125188546747583E-2</c:v>
                </c:pt>
                <c:pt idx="66">
                  <c:v>6.7007591550866108E-2</c:v>
                </c:pt>
                <c:pt idx="67">
                  <c:v>6.3868560919416784E-2</c:v>
                </c:pt>
                <c:pt idx="68">
                  <c:v>6.0712377567207085E-2</c:v>
                </c:pt>
                <c:pt idx="69">
                  <c:v>5.7543212722452976E-2</c:v>
                </c:pt>
                <c:pt idx="70">
                  <c:v>5.4365110808910197E-2</c:v>
                </c:pt>
                <c:pt idx="71">
                  <c:v>5.1181994033095528E-2</c:v>
                </c:pt>
                <c:pt idx="72">
                  <c:v>4.7997645535183223E-2</c:v>
                </c:pt>
                <c:pt idx="73">
                  <c:v>4.4815707121575649E-2</c:v>
                </c:pt>
                <c:pt idx="74">
                  <c:v>4.1639669925005035E-2</c:v>
                </c:pt>
                <c:pt idx="75">
                  <c:v>3.8472866878327974E-2</c:v>
                </c:pt>
                <c:pt idx="76">
                  <c:v>3.531846581231559E-2</c:v>
                </c:pt>
                <c:pt idx="77">
                  <c:v>3.2179463429626999E-2</c:v>
                </c:pt>
                <c:pt idx="78">
                  <c:v>2.9058681003528198E-2</c:v>
                </c:pt>
                <c:pt idx="79">
                  <c:v>2.5958758159038673E-2</c:v>
                </c:pt>
                <c:pt idx="80">
                  <c:v>2.2882154450083271E-2</c:v>
                </c:pt>
                <c:pt idx="81">
                  <c:v>1.9831144353500633E-2</c:v>
                </c:pt>
                <c:pt idx="82">
                  <c:v>1.6807820588151057E-2</c:v>
                </c:pt>
                <c:pt idx="83">
                  <c:v>1.3814093035578462E-2</c:v>
                </c:pt>
                <c:pt idx="84">
                  <c:v>1.0851693752525203E-2</c:v>
                </c:pt>
                <c:pt idx="85">
                  <c:v>7.9221786110799993E-3</c:v>
                </c:pt>
                <c:pt idx="86">
                  <c:v>5.0269343387432663E-3</c:v>
                </c:pt>
                <c:pt idx="87">
                  <c:v>2.1671821480114045E-3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A8C-4DFF-A0F5-762DA6BD2CDF}"/>
            </c:ext>
          </c:extLst>
        </c:ser>
        <c:ser>
          <c:idx val="2"/>
          <c:order val="2"/>
          <c:tx>
            <c:v>Diagonal</c:v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Lit>
              <c:formatCode>Geral</c:formatCode>
              <c:ptCount val="2"/>
              <c:pt idx="0">
                <c:v>1</c:v>
              </c:pt>
              <c:pt idx="1">
                <c:v>0</c:v>
              </c:pt>
            </c:numLit>
          </c:xVal>
          <c:yVal>
            <c:numLit>
              <c:formatCode>Geral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6A8C-4DFF-A0F5-762DA6BD2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669792"/>
        <c:axId val="239074352"/>
        <c:extLst/>
      </c:scatterChart>
      <c:valAx>
        <c:axId val="4326697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x(1)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9074352"/>
        <c:crosses val="autoZero"/>
        <c:crossBetween val="midCat"/>
      </c:valAx>
      <c:valAx>
        <c:axId val="239074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x(3)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2669792"/>
        <c:crosses val="autoZero"/>
        <c:crossBetween val="midCat"/>
      </c:valAx>
      <c:spPr>
        <a:noFill/>
        <a:ln>
          <a:solidFill>
            <a:schemeClr val="bg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chemeClr val="tx1"/>
                </a:solidFill>
              </a:rPr>
              <a:t>K</a:t>
            </a:r>
            <a:r>
              <a:rPr lang="pt-BR" b="1" baseline="-25000">
                <a:solidFill>
                  <a:schemeClr val="tx1"/>
                </a:solidFill>
              </a:rPr>
              <a:t>D</a:t>
            </a:r>
            <a:r>
              <a:rPr lang="pt-BR" b="1" baseline="0">
                <a:solidFill>
                  <a:schemeClr val="tx1"/>
                </a:solidFill>
              </a:rPr>
              <a:t> = x</a:t>
            </a:r>
            <a:r>
              <a:rPr lang="pt-BR" b="1" baseline="-25000">
                <a:solidFill>
                  <a:schemeClr val="tx1"/>
                </a:solidFill>
              </a:rPr>
              <a:t>a</a:t>
            </a:r>
            <a:r>
              <a:rPr lang="pt-BR" b="1" baseline="0">
                <a:solidFill>
                  <a:schemeClr val="tx1"/>
                </a:solidFill>
              </a:rPr>
              <a:t>(3)/x</a:t>
            </a:r>
            <a:r>
              <a:rPr lang="pt-BR" b="1" baseline="-25000">
                <a:solidFill>
                  <a:schemeClr val="tx1"/>
                </a:solidFill>
              </a:rPr>
              <a:t>b</a:t>
            </a:r>
            <a:r>
              <a:rPr lang="pt-BR" b="1" baseline="0">
                <a:solidFill>
                  <a:schemeClr val="tx1"/>
                </a:solidFill>
              </a:rPr>
              <a:t>(3)</a:t>
            </a:r>
            <a:endParaRPr lang="pt-BR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32669792"/>
        <c:axId val="23907435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0"/>
                <c:tx>
                  <c:v>1</c:v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Results!$T$5:$T$300</c15:sqref>
                        </c15:formulaRef>
                      </c:ext>
                    </c:extLst>
                    <c:numCache>
                      <c:formatCode>0,000</c:formatCode>
                      <c:ptCount val="296"/>
                      <c:pt idx="0">
                        <c:v>0.71031248770677735</c:v>
                      </c:pt>
                      <c:pt idx="1">
                        <c:v>0.70401310603079015</c:v>
                      </c:pt>
                      <c:pt idx="2">
                        <c:v>0.69887235816623527</c:v>
                      </c:pt>
                      <c:pt idx="3">
                        <c:v>0.695399558284858</c:v>
                      </c:pt>
                      <c:pt idx="4">
                        <c:v>0.69372367119763045</c:v>
                      </c:pt>
                      <c:pt idx="5">
                        <c:v>0.69372869492497502</c:v>
                      </c:pt>
                      <c:pt idx="6">
                        <c:v>0.69521099578358414</c:v>
                      </c:pt>
                      <c:pt idx="7">
                        <c:v>0.69796644799735097</c:v>
                      </c:pt>
                      <c:pt idx="8">
                        <c:v>0.70182016665756031</c:v>
                      </c:pt>
                      <c:pt idx="9">
                        <c:v>0.70662946251117509</c:v>
                      </c:pt>
                      <c:pt idx="10">
                        <c:v>0.71228344771812169</c:v>
                      </c:pt>
                      <c:pt idx="11">
                        <c:v>0.7308875666806991</c:v>
                      </c:pt>
                      <c:pt idx="12">
                        <c:v>0.72878126269141874</c:v>
                      </c:pt>
                      <c:pt idx="13">
                        <c:v>0.72614346565157573</c:v>
                      </c:pt>
                      <c:pt idx="14">
                        <c:v>0.72310865808450264</c:v>
                      </c:pt>
                      <c:pt idx="15">
                        <c:v>0.71976823177759286</c:v>
                      </c:pt>
                      <c:pt idx="16">
                        <c:v>0.7161869566492407</c:v>
                      </c:pt>
                      <c:pt idx="17">
                        <c:v>0.71241283417769297</c:v>
                      </c:pt>
                      <c:pt idx="18">
                        <c:v>0.70848039519075412</c:v>
                      </c:pt>
                      <c:pt idx="19">
                        <c:v>0.70441799766409607</c:v>
                      </c:pt>
                      <c:pt idx="20">
                        <c:v>0.70024764709589382</c:v>
                      </c:pt>
                      <c:pt idx="21">
                        <c:v>0.6959872678997262</c:v>
                      </c:pt>
                      <c:pt idx="22">
                        <c:v>0.69165192279602927</c:v>
                      </c:pt>
                      <c:pt idx="23">
                        <c:v>0.6872545951922655</c:v>
                      </c:pt>
                      <c:pt idx="24">
                        <c:v>0.6828068687793446</c:v>
                      </c:pt>
                      <c:pt idx="25">
                        <c:v>0.67831940440533112</c:v>
                      </c:pt>
                      <c:pt idx="26">
                        <c:v>0.67380232442156052</c:v>
                      </c:pt>
                      <c:pt idx="27">
                        <c:v>0.66926555777186958</c:v>
                      </c:pt>
                      <c:pt idx="28">
                        <c:v>0.66471909960713549</c:v>
                      </c:pt>
                      <c:pt idx="29">
                        <c:v>0.66017322725779881</c:v>
                      </c:pt>
                      <c:pt idx="30">
                        <c:v>0.65563870275328928</c:v>
                      </c:pt>
                      <c:pt idx="31">
                        <c:v>0.65112688829006249</c:v>
                      </c:pt>
                      <c:pt idx="32">
                        <c:v>0.64664984506908396</c:v>
                      </c:pt>
                      <c:pt idx="33">
                        <c:v>0.64222033229438646</c:v>
                      </c:pt>
                      <c:pt idx="34">
                        <c:v>0.63785171688155273</c:v>
                      </c:pt>
                      <c:pt idx="35">
                        <c:v>0.63355783328401649</c:v>
                      </c:pt>
                      <c:pt idx="36">
                        <c:v>0.62935266940494805</c:v>
                      </c:pt>
                      <c:pt idx="37">
                        <c:v>0.62525000573146228</c:v>
                      </c:pt>
                      <c:pt idx="38">
                        <c:v>0.62126295560534983</c:v>
                      </c:pt>
                      <c:pt idx="39">
                        <c:v>0.61740345748911207</c:v>
                      </c:pt>
                      <c:pt idx="40">
                        <c:v>0.61368179370801634</c:v>
                      </c:pt>
                      <c:pt idx="41">
                        <c:v>0.61010620096942636</c:v>
                      </c:pt>
                      <c:pt idx="42">
                        <c:v>0.60668258186779767</c:v>
                      </c:pt>
                      <c:pt idx="43">
                        <c:v>0.60341441680098129</c:v>
                      </c:pt>
                      <c:pt idx="44">
                        <c:v>0.60030283254761885</c:v>
                      </c:pt>
                      <c:pt idx="45">
                        <c:v>0.5973468331913625</c:v>
                      </c:pt>
                      <c:pt idx="46">
                        <c:v>0.59454362152038354</c:v>
                      </c:pt>
                      <c:pt idx="47">
                        <c:v>0.59188902193451365</c:v>
                      </c:pt>
                      <c:pt idx="48">
                        <c:v>0.58937787036439793</c:v>
                      </c:pt>
                      <c:pt idx="49">
                        <c:v>0.58700439603802046</c:v>
                      </c:pt>
                      <c:pt idx="50">
                        <c:v>0.58476253983015924</c:v>
                      </c:pt>
                      <c:pt idx="51">
                        <c:v>0.58264622120060716</c:v>
                      </c:pt>
                      <c:pt idx="52">
                        <c:v>0.58064951041479285</c:v>
                      </c:pt>
                      <c:pt idx="53">
                        <c:v>0.57876676912763236</c:v>
                      </c:pt>
                      <c:pt idx="54">
                        <c:v>0.5769927131292828</c:v>
                      </c:pt>
                      <c:pt idx="55">
                        <c:v>0.57532244597299909</c:v>
                      </c:pt>
                      <c:pt idx="56">
                        <c:v>0.57375147110562985</c:v>
                      </c:pt>
                      <c:pt idx="57">
                        <c:v>0.57227566083411241</c:v>
                      </c:pt>
                      <c:pt idx="58">
                        <c:v>0.57089123825421795</c:v>
                      </c:pt>
                      <c:pt idx="59">
                        <c:v>0.56959471906243786</c:v>
                      </c:pt>
                      <c:pt idx="60">
                        <c:v>0.56838288656794267</c:v>
                      </c:pt>
                      <c:pt idx="61">
                        <c:v>0.56725273603895032</c:v>
                      </c:pt>
                      <c:pt idx="62">
                        <c:v>0.56620144477714474</c:v>
                      </c:pt>
                      <c:pt idx="63">
                        <c:v>0.56522631981575444</c:v>
                      </c:pt>
                      <c:pt idx="64">
                        <c:v>0.5643247790982997</c:v>
                      </c:pt>
                      <c:pt idx="65">
                        <c:v>0.56349431481758028</c:v>
                      </c:pt>
                      <c:pt idx="66">
                        <c:v>0.56273247207300692</c:v>
                      </c:pt>
                      <c:pt idx="67">
                        <c:v>0.56203682875420058</c:v>
                      </c:pt>
                      <c:pt idx="68">
                        <c:v>0.56140498689325935</c:v>
                      </c:pt>
                      <c:pt idx="69">
                        <c:v>0.56083455344151589</c:v>
                      </c:pt>
                      <c:pt idx="70">
                        <c:v>0.56032314405982819</c:v>
                      </c:pt>
                      <c:pt idx="71">
                        <c:v>0.55986837096356901</c:v>
                      </c:pt>
                      <c:pt idx="72">
                        <c:v>0.55946785073852157</c:v>
                      </c:pt>
                      <c:pt idx="73">
                        <c:v>0.55911920189566755</c:v>
                      </c:pt>
                      <c:pt idx="74">
                        <c:v>0.55882005011697133</c:v>
                      </c:pt>
                      <c:pt idx="75">
                        <c:v>0.55856803361398899</c:v>
                      </c:pt>
                      <c:pt idx="76">
                        <c:v>0.55836080943361055</c:v>
                      </c:pt>
                      <c:pt idx="77">
                        <c:v>0.55819606033727043</c:v>
                      </c:pt>
                      <c:pt idx="78">
                        <c:v>0.55807150131413952</c:v>
                      </c:pt>
                      <c:pt idx="79">
                        <c:v>0.55798488896158938</c:v>
                      </c:pt>
                      <c:pt idx="80">
                        <c:v>0.55793402457089503</c:v>
                      </c:pt>
                      <c:pt idx="81">
                        <c:v>0.55791676421083136</c:v>
                      </c:pt>
                      <c:pt idx="82">
                        <c:v>0.55793102140460993</c:v>
                      </c:pt>
                      <c:pt idx="83">
                        <c:v>0.55797477500054571</c:v>
                      </c:pt>
                      <c:pt idx="84">
                        <c:v>0.55804607083866331</c:v>
                      </c:pt>
                      <c:pt idx="85">
                        <c:v>0.55814302812869077</c:v>
                      </c:pt>
                      <c:pt idx="86">
                        <c:v>0.55826383907992616</c:v>
                      </c:pt>
                      <c:pt idx="87">
                        <c:v>0.55840677404788064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Results!$P$5:$P$300</c15:sqref>
                        </c15:formulaRef>
                      </c:ext>
                    </c:extLst>
                    <c:numCache>
                      <c:formatCode>0,000</c:formatCode>
                      <c:ptCount val="296"/>
                      <c:pt idx="0">
                        <c:v>1.0000000135460743</c:v>
                      </c:pt>
                      <c:pt idx="1">
                        <c:v>0.99999996899504884</c:v>
                      </c:pt>
                      <c:pt idx="2">
                        <c:v>0.99999994804390757</c:v>
                      </c:pt>
                      <c:pt idx="3">
                        <c:v>0.99999993178438074</c:v>
                      </c:pt>
                      <c:pt idx="4">
                        <c:v>0.99999992748263378</c:v>
                      </c:pt>
                      <c:pt idx="5">
                        <c:v>0.99999991199757765</c:v>
                      </c:pt>
                      <c:pt idx="6">
                        <c:v>0.99999990478463741</c:v>
                      </c:pt>
                      <c:pt idx="7">
                        <c:v>0.9999998712953454</c:v>
                      </c:pt>
                      <c:pt idx="8">
                        <c:v>0.99999981014782757</c:v>
                      </c:pt>
                      <c:pt idx="9">
                        <c:v>0.99999969999779847</c:v>
                      </c:pt>
                      <c:pt idx="10">
                        <c:v>0.99999892088215792</c:v>
                      </c:pt>
                      <c:pt idx="11">
                        <c:v>0.93394098379433721</c:v>
                      </c:pt>
                      <c:pt idx="12">
                        <c:v>0.90295694844196372</c:v>
                      </c:pt>
                      <c:pt idx="13">
                        <c:v>0.8754001520898762</c:v>
                      </c:pt>
                      <c:pt idx="14">
                        <c:v>0.85048561258361444</c:v>
                      </c:pt>
                      <c:pt idx="15">
                        <c:v>0.82766330192953763</c:v>
                      </c:pt>
                      <c:pt idx="16">
                        <c:v>0.80653273407142068</c:v>
                      </c:pt>
                      <c:pt idx="17">
                        <c:v>0.78679242039177488</c:v>
                      </c:pt>
                      <c:pt idx="18">
                        <c:v>0.76821398740063473</c:v>
                      </c:pt>
                      <c:pt idx="19">
                        <c:v>0.75061503520748951</c:v>
                      </c:pt>
                      <c:pt idx="20">
                        <c:v>0.73385105037365594</c:v>
                      </c:pt>
                      <c:pt idx="21">
                        <c:v>0.71780493357600772</c:v>
                      </c:pt>
                      <c:pt idx="22">
                        <c:v>0.70238037167029865</c:v>
                      </c:pt>
                      <c:pt idx="23">
                        <c:v>0.68749721549583953</c:v>
                      </c:pt>
                      <c:pt idx="24">
                        <c:v>0.67308789050519857</c:v>
                      </c:pt>
                      <c:pt idx="25">
                        <c:v>0.65909477618036405</c:v>
                      </c:pt>
                      <c:pt idx="26">
                        <c:v>0.64546819055658111</c:v>
                      </c:pt>
                      <c:pt idx="27">
                        <c:v>0.63216477950296179</c:v>
                      </c:pt>
                      <c:pt idx="28">
                        <c:v>0.6191463027449734</c:v>
                      </c:pt>
                      <c:pt idx="29">
                        <c:v>0.60637868512097848</c:v>
                      </c:pt>
                      <c:pt idx="30">
                        <c:v>0.59383124341772664</c:v>
                      </c:pt>
                      <c:pt idx="31">
                        <c:v>0.58147616280441783</c:v>
                      </c:pt>
                      <c:pt idx="32">
                        <c:v>0.56928808635104977</c:v>
                      </c:pt>
                      <c:pt idx="33">
                        <c:v>0.55724391159380682</c:v>
                      </c:pt>
                      <c:pt idx="34">
                        <c:v>0.54532274768141042</c:v>
                      </c:pt>
                      <c:pt idx="35">
                        <c:v>0.53350595506201659</c:v>
                      </c:pt>
                      <c:pt idx="36">
                        <c:v>0.52177740725373767</c:v>
                      </c:pt>
                      <c:pt idx="37">
                        <c:v>0.51012377662427089</c:v>
                      </c:pt>
                      <c:pt idx="38">
                        <c:v>0.49853489269514539</c:v>
                      </c:pt>
                      <c:pt idx="39">
                        <c:v>0.48700408888295016</c:v>
                      </c:pt>
                      <c:pt idx="40">
                        <c:v>0.4755284392000631</c:v>
                      </c:pt>
                      <c:pt idx="41">
                        <c:v>0.46410881514914432</c:v>
                      </c:pt>
                      <c:pt idx="42">
                        <c:v>0.45274977062746913</c:v>
                      </c:pt>
                      <c:pt idx="43">
                        <c:v>0.44145917128811696</c:v>
                      </c:pt>
                      <c:pt idx="44">
                        <c:v>0.4302476565605774</c:v>
                      </c:pt>
                      <c:pt idx="45">
                        <c:v>0.41912796382464984</c:v>
                      </c:pt>
                      <c:pt idx="46">
                        <c:v>0.40811422044857065</c:v>
                      </c:pt>
                      <c:pt idx="47">
                        <c:v>0.39722121385551795</c:v>
                      </c:pt>
                      <c:pt idx="48">
                        <c:v>0.38646378295645906</c:v>
                      </c:pt>
                      <c:pt idx="49">
                        <c:v>0.37585630124241276</c:v>
                      </c:pt>
                      <c:pt idx="50">
                        <c:v>0.36541229452366675</c:v>
                      </c:pt>
                      <c:pt idx="51">
                        <c:v>0.3551441675211553</c:v>
                      </c:pt>
                      <c:pt idx="52">
                        <c:v>0.34506306021500271</c:v>
                      </c:pt>
                      <c:pt idx="53">
                        <c:v>0.33517876374471861</c:v>
                      </c:pt>
                      <c:pt idx="54">
                        <c:v>0.32549972151967432</c:v>
                      </c:pt>
                      <c:pt idx="55">
                        <c:v>0.31603306392090025</c:v>
                      </c:pt>
                      <c:pt idx="56">
                        <c:v>0.30678466462299986</c:v>
                      </c:pt>
                      <c:pt idx="57">
                        <c:v>0.29775922849541381</c:v>
                      </c:pt>
                      <c:pt idx="58">
                        <c:v>0.28896036691858207</c:v>
                      </c:pt>
                      <c:pt idx="59">
                        <c:v>0.28039069609994993</c:v>
                      </c:pt>
                      <c:pt idx="60">
                        <c:v>0.27205190777960042</c:v>
                      </c:pt>
                      <c:pt idx="61">
                        <c:v>0.26394485540217333</c:v>
                      </c:pt>
                      <c:pt idx="62">
                        <c:v>0.25606961965109959</c:v>
                      </c:pt>
                      <c:pt idx="63">
                        <c:v>0.24842558389306235</c:v>
                      </c:pt>
                      <c:pt idx="64">
                        <c:v>0.24101148725421218</c:v>
                      </c:pt>
                      <c:pt idx="65">
                        <c:v>0.23382548634088821</c:v>
                      </c:pt>
                      <c:pt idx="66">
                        <c:v>0.22686520701155419</c:v>
                      </c:pt>
                      <c:pt idx="67">
                        <c:v>0.22012779488624618</c:v>
                      </c:pt>
                      <c:pt idx="68">
                        <c:v>0.21360995989043369</c:v>
                      </c:pt>
                      <c:pt idx="69">
                        <c:v>0.20730802573843771</c:v>
                      </c:pt>
                      <c:pt idx="70">
                        <c:v>0.20121796840720535</c:v>
                      </c:pt>
                      <c:pt idx="71">
                        <c:v>0.19533546191247328</c:v>
                      </c:pt>
                      <c:pt idx="72">
                        <c:v>0.18965591484426433</c:v>
                      </c:pt>
                      <c:pt idx="73">
                        <c:v>0.18417451098401588</c:v>
                      </c:pt>
                      <c:pt idx="74">
                        <c:v>0.17888624580220711</c:v>
                      </c:pt>
                      <c:pt idx="75">
                        <c:v>0.1737859619046013</c:v>
                      </c:pt>
                      <c:pt idx="76">
                        <c:v>0.16886838275606122</c:v>
                      </c:pt>
                      <c:pt idx="77">
                        <c:v>0.1641281445593383</c:v>
                      </c:pt>
                      <c:pt idx="78">
                        <c:v>0.15955982630968391</c:v>
                      </c:pt>
                      <c:pt idx="79">
                        <c:v>0.15515797705725606</c:v>
                      </c:pt>
                      <c:pt idx="80">
                        <c:v>0.15091714250411414</c:v>
                      </c:pt>
                      <c:pt idx="81">
                        <c:v>0.14683188775909087</c:v>
                      </c:pt>
                      <c:pt idx="82">
                        <c:v>0.1428968188871145</c:v>
                      </c:pt>
                      <c:pt idx="83">
                        <c:v>0.139106602041904</c:v>
                      </c:pt>
                      <c:pt idx="84">
                        <c:v>0.13545597973894294</c:v>
                      </c:pt>
                      <c:pt idx="85">
                        <c:v>0.13193978665066655</c:v>
                      </c:pt>
                      <c:pt idx="86">
                        <c:v>0.12855296042233086</c:v>
                      </c:pt>
                      <c:pt idx="87">
                        <c:v>0.12529055449775442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0166-45AD-8D99-624936DBEA46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v>2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Results!$U$5:$U$300</c15:sqref>
                        </c15:formulaRef>
                      </c:ext>
                    </c:extLst>
                    <c:numCache>
                      <c:formatCode>0,000</c:formatCode>
                      <c:ptCount val="296"/>
                      <c:pt idx="0">
                        <c:v>1.0000001005676325E-4</c:v>
                      </c:pt>
                      <c:pt idx="1">
                        <c:v>1.0099998615214895E-2</c:v>
                      </c:pt>
                      <c:pt idx="2">
                        <c:v>2.009999631176004E-2</c:v>
                      </c:pt>
                      <c:pt idx="3">
                        <c:v>3.0099993680569571E-2</c:v>
                      </c:pt>
                      <c:pt idx="4">
                        <c:v>4.0099991842484042E-2</c:v>
                      </c:pt>
                      <c:pt idx="5">
                        <c:v>5.0099988415487802E-2</c:v>
                      </c:pt>
                      <c:pt idx="6">
                        <c:v>6.0099985666401193E-2</c:v>
                      </c:pt>
                      <c:pt idx="7">
                        <c:v>7.0099978202603067E-2</c:v>
                      </c:pt>
                      <c:pt idx="8">
                        <c:v>8.0099964282082214E-2</c:v>
                      </c:pt>
                      <c:pt idx="9">
                        <c:v>9.0099937948061704E-2</c:v>
                      </c:pt>
                      <c:pt idx="10">
                        <c:v>0.10009975674243796</c:v>
                      </c:pt>
                      <c:pt idx="11">
                        <c:v>9.4461833040640292E-2</c:v>
                      </c:pt>
                      <c:pt idx="12">
                        <c:v>9.6652230045811402E-2</c:v>
                      </c:pt>
                      <c:pt idx="13">
                        <c:v>9.9392907243022494E-2</c:v>
                      </c:pt>
                      <c:pt idx="14">
                        <c:v>0.10254396005533667</c:v>
                      </c:pt>
                      <c:pt idx="15">
                        <c:v>0.1060102001362586</c:v>
                      </c:pt>
                      <c:pt idx="16">
                        <c:v>0.10972433007895713</c:v>
                      </c:pt>
                      <c:pt idx="17">
                        <c:v>0.11363701683907694</c:v>
                      </c:pt>
                      <c:pt idx="18">
                        <c:v>0.11771225963074609</c:v>
                      </c:pt>
                      <c:pt idx="19">
                        <c:v>0.12192168692541074</c:v>
                      </c:pt>
                      <c:pt idx="20">
                        <c:v>0.12624344681905636</c:v>
                      </c:pt>
                      <c:pt idx="21">
                        <c:v>0.13066018192065532</c:v>
                      </c:pt>
                      <c:pt idx="22">
                        <c:v>0.13515781705042518</c:v>
                      </c:pt>
                      <c:pt idx="23">
                        <c:v>0.13972474278869029</c:v>
                      </c:pt>
                      <c:pt idx="24">
                        <c:v>0.14435116803155387</c:v>
                      </c:pt>
                      <c:pt idx="25">
                        <c:v>0.14902865686988781</c:v>
                      </c:pt>
                      <c:pt idx="26">
                        <c:v>0.15374976947981081</c:v>
                      </c:pt>
                      <c:pt idx="27">
                        <c:v>0.15850776417237206</c:v>
                      </c:pt>
                      <c:pt idx="28">
                        <c:v>0.16329637246754744</c:v>
                      </c:pt>
                      <c:pt idx="29">
                        <c:v>0.16810961815202949</c:v>
                      </c:pt>
                      <c:pt idx="30">
                        <c:v>0.17294165978312248</c:v>
                      </c:pt>
                      <c:pt idx="31">
                        <c:v>0.17778668911669668</c:v>
                      </c:pt>
                      <c:pt idx="32">
                        <c:v>0.1826388476181483</c:v>
                      </c:pt>
                      <c:pt idx="33">
                        <c:v>0.18749220014022699</c:v>
                      </c:pt>
                      <c:pt idx="34">
                        <c:v>0.19234075884267884</c:v>
                      </c:pt>
                      <c:pt idx="35">
                        <c:v>0.19717853672696145</c:v>
                      </c:pt>
                      <c:pt idx="36">
                        <c:v>0.20199969036461102</c:v>
                      </c:pt>
                      <c:pt idx="37">
                        <c:v>0.20679868771746945</c:v>
                      </c:pt>
                      <c:pt idx="38">
                        <c:v>0.21157052461326895</c:v>
                      </c:pt>
                      <c:pt idx="39">
                        <c:v>0.21631096238122768</c:v>
                      </c:pt>
                      <c:pt idx="40">
                        <c:v>0.22101674760191647</c:v>
                      </c:pt>
                      <c:pt idx="41">
                        <c:v>0.2256857799537117</c:v>
                      </c:pt>
                      <c:pt idx="42">
                        <c:v>0.23031722218806155</c:v>
                      </c:pt>
                      <c:pt idx="43">
                        <c:v>0.23491150436345626</c:v>
                      </c:pt>
                      <c:pt idx="44">
                        <c:v>0.23947024540132775</c:v>
                      </c:pt>
                      <c:pt idx="45">
                        <c:v>0.24399609259609242</c:v>
                      </c:pt>
                      <c:pt idx="46">
                        <c:v>0.24849251740469394</c:v>
                      </c:pt>
                      <c:pt idx="47">
                        <c:v>0.25296356669466263</c:v>
                      </c:pt>
                      <c:pt idx="48">
                        <c:v>0.25741363608861295</c:v>
                      </c:pt>
                      <c:pt idx="49">
                        <c:v>0.26184725565595945</c:v>
                      </c:pt>
                      <c:pt idx="50">
                        <c:v>0.26626891446841222</c:v>
                      </c:pt>
                      <c:pt idx="51">
                        <c:v>0.27068291817589907</c:v>
                      </c:pt>
                      <c:pt idx="52">
                        <c:v>0.27509329799899146</c:v>
                      </c:pt>
                      <c:pt idx="53">
                        <c:v>0.27950374099461756</c:v>
                      </c:pt>
                      <c:pt idx="54">
                        <c:v>0.28391756064591256</c:v>
                      </c:pt>
                      <c:pt idx="55">
                        <c:v>0.28833768430345602</c:v>
                      </c:pt>
                      <c:pt idx="56">
                        <c:v>0.29276665304615257</c:v>
                      </c:pt>
                      <c:pt idx="57">
                        <c:v>0.29720664217877041</c:v>
                      </c:pt>
                      <c:pt idx="58">
                        <c:v>0.30165947735565524</c:v>
                      </c:pt>
                      <c:pt idx="59">
                        <c:v>0.30612666850757403</c:v>
                      </c:pt>
                      <c:pt idx="60">
                        <c:v>0.31060943011897557</c:v>
                      </c:pt>
                      <c:pt idx="61">
                        <c:v>0.31510871469145679</c:v>
                      </c:pt>
                      <c:pt idx="62">
                        <c:v>0.31962523564074058</c:v>
                      </c:pt>
                      <c:pt idx="63">
                        <c:v>0.32415949957336831</c:v>
                      </c:pt>
                      <c:pt idx="64">
                        <c:v>0.32871182497136886</c:v>
                      </c:pt>
                      <c:pt idx="65">
                        <c:v>0.33328236838077369</c:v>
                      </c:pt>
                      <c:pt idx="66">
                        <c:v>0.33787114452201644</c:v>
                      </c:pt>
                      <c:pt idx="67">
                        <c:v>0.34247804608527493</c:v>
                      </c:pt>
                      <c:pt idx="68">
                        <c:v>0.34710285905912885</c:v>
                      </c:pt>
                      <c:pt idx="69">
                        <c:v>0.35174528238202785</c:v>
                      </c:pt>
                      <c:pt idx="70">
                        <c:v>0.35640493837545661</c:v>
                      </c:pt>
                      <c:pt idx="71">
                        <c:v>0.36108138949927676</c:v>
                      </c:pt>
                      <c:pt idx="72">
                        <c:v>0.36577414690993892</c:v>
                      </c:pt>
                      <c:pt idx="73">
                        <c:v>0.37048268285554253</c:v>
                      </c:pt>
                      <c:pt idx="74">
                        <c:v>0.37520643958745981</c:v>
                      </c:pt>
                      <c:pt idx="75">
                        <c:v>0.37994483772747323</c:v>
                      </c:pt>
                      <c:pt idx="76">
                        <c:v>0.38469728366069661</c:v>
                      </c:pt>
                      <c:pt idx="77">
                        <c:v>0.38946317602257641</c:v>
                      </c:pt>
                      <c:pt idx="78">
                        <c:v>0.39424191160455468</c:v>
                      </c:pt>
                      <c:pt idx="79">
                        <c:v>0.39903288924758396</c:v>
                      </c:pt>
                      <c:pt idx="80">
                        <c:v>0.40383551557992198</c:v>
                      </c:pt>
                      <c:pt idx="81">
                        <c:v>0.40864920695883838</c:v>
                      </c:pt>
                      <c:pt idx="82">
                        <c:v>0.41347339363709656</c:v>
                      </c:pt>
                      <c:pt idx="83">
                        <c:v>0.41830752104739877</c:v>
                      </c:pt>
                      <c:pt idx="84">
                        <c:v>0.42315105262805336</c:v>
                      </c:pt>
                      <c:pt idx="85">
                        <c:v>0.42800347036357633</c:v>
                      </c:pt>
                      <c:pt idx="86">
                        <c:v>0.43286427671336963</c:v>
                      </c:pt>
                      <c:pt idx="87">
                        <c:v>0.43773299452831343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Results!$Q$5:$Q$300</c15:sqref>
                        </c15:formulaRef>
                      </c:ext>
                    </c:extLst>
                    <c:numCache>
                      <c:formatCode>0,000</c:formatCode>
                      <c:ptCount val="296"/>
                      <c:pt idx="0">
                        <c:v>0.99999979886477575</c:v>
                      </c:pt>
                      <c:pt idx="1">
                        <c:v>1.0000002742149472</c:v>
                      </c:pt>
                      <c:pt idx="2">
                        <c:v>1.0000003669891855</c:v>
                      </c:pt>
                      <c:pt idx="3">
                        <c:v>1.0000004198958858</c:v>
                      </c:pt>
                      <c:pt idx="4">
                        <c:v>1.0000004068588169</c:v>
                      </c:pt>
                      <c:pt idx="5">
                        <c:v>1.0000004624557908</c:v>
                      </c:pt>
                      <c:pt idx="6">
                        <c:v>1.0000004769918687</c:v>
                      </c:pt>
                      <c:pt idx="7">
                        <c:v>1.0000006218947362</c:v>
                      </c:pt>
                      <c:pt idx="8">
                        <c:v>1.0000008918339485</c:v>
                      </c:pt>
                      <c:pt idx="9">
                        <c:v>1.0000013774034131</c:v>
                      </c:pt>
                      <c:pt idx="10">
                        <c:v>1.0000048603145724</c:v>
                      </c:pt>
                      <c:pt idx="11">
                        <c:v>1.39678862293043</c:v>
                      </c:pt>
                      <c:pt idx="12">
                        <c:v>1.6406104197706346</c:v>
                      </c:pt>
                      <c:pt idx="13">
                        <c:v>1.8941320121701788</c:v>
                      </c:pt>
                      <c:pt idx="14">
                        <c:v>2.1557852561123987</c:v>
                      </c:pt>
                      <c:pt idx="15">
                        <c:v>2.4240799371353634</c:v>
                      </c:pt>
                      <c:pt idx="16">
                        <c:v>2.6976177654896971</c:v>
                      </c:pt>
                      <c:pt idx="17">
                        <c:v>2.975126802449048</c:v>
                      </c:pt>
                      <c:pt idx="18">
                        <c:v>3.2553378213510502</c:v>
                      </c:pt>
                      <c:pt idx="19">
                        <c:v>3.5371802397012058</c:v>
                      </c:pt>
                      <c:pt idx="20">
                        <c:v>3.8196576682382779</c:v>
                      </c:pt>
                      <c:pt idx="21">
                        <c:v>4.1018841773737824</c:v>
                      </c:pt>
                      <c:pt idx="22">
                        <c:v>4.3830970959753985</c:v>
                      </c:pt>
                      <c:pt idx="23">
                        <c:v>4.6626625851894836</c:v>
                      </c:pt>
                      <c:pt idx="24">
                        <c:v>4.9400917620141236</c:v>
                      </c:pt>
                      <c:pt idx="25">
                        <c:v>5.2150543993578342</c:v>
                      </c:pt>
                      <c:pt idx="26">
                        <c:v>5.487395145796099</c:v>
                      </c:pt>
                      <c:pt idx="27">
                        <c:v>5.7571556695526347</c:v>
                      </c:pt>
                      <c:pt idx="28">
                        <c:v>6.0245958889075695</c:v>
                      </c:pt>
                      <c:pt idx="29">
                        <c:v>6.2902169083504349</c:v>
                      </c:pt>
                      <c:pt idx="30">
                        <c:v>6.5547890114385332</c:v>
                      </c:pt>
                      <c:pt idx="31">
                        <c:v>6.8193745889826882</c:v>
                      </c:pt>
                      <c:pt idx="32">
                        <c:v>7.0853548045281167</c:v>
                      </c:pt>
                      <c:pt idx="33">
                        <c:v>7.3544482701655172</c:v>
                      </c:pt>
                      <c:pt idx="34">
                        <c:v>7.628721893236567</c:v>
                      </c:pt>
                      <c:pt idx="35">
                        <c:v>7.9105998810449814</c:v>
                      </c:pt>
                      <c:pt idx="36">
                        <c:v>8.2028491978315756</c:v>
                      </c:pt>
                      <c:pt idx="37">
                        <c:v>8.5085593394842487</c:v>
                      </c:pt>
                      <c:pt idx="38">
                        <c:v>8.8311044184685734</c:v>
                      </c:pt>
                      <c:pt idx="39">
                        <c:v>9.1740908291254026</c:v>
                      </c:pt>
                      <c:pt idx="40">
                        <c:v>9.5412986219052609</c:v>
                      </c:pt>
                      <c:pt idx="41">
                        <c:v>9.9366246616290219</c:v>
                      </c:pt>
                      <c:pt idx="42">
                        <c:v>10.364025126429606</c:v>
                      </c:pt>
                      <c:pt idx="43">
                        <c:v>10.82747792235104</c:v>
                      </c:pt>
                      <c:pt idx="44">
                        <c:v>11.330958772794752</c:v>
                      </c:pt>
                      <c:pt idx="45">
                        <c:v>11.878438726010328</c:v>
                      </c:pt>
                      <c:pt idx="46">
                        <c:v>12.473893609635436</c:v>
                      </c:pt>
                      <c:pt idx="47">
                        <c:v>13.121340043914078</c:v>
                      </c:pt>
                      <c:pt idx="48">
                        <c:v>13.824869328920514</c:v>
                      </c:pt>
                      <c:pt idx="49">
                        <c:v>14.588692642363977</c:v>
                      </c:pt>
                      <c:pt idx="50">
                        <c:v>15.417184700430937</c:v>
                      </c:pt>
                      <c:pt idx="51">
                        <c:v>16.314932191816133</c:v>
                      </c:pt>
                      <c:pt idx="52">
                        <c:v>17.286767836244273</c:v>
                      </c:pt>
                      <c:pt idx="53">
                        <c:v>18.337813033920089</c:v>
                      </c:pt>
                      <c:pt idx="54">
                        <c:v>19.473504165247764</c:v>
                      </c:pt>
                      <c:pt idx="55">
                        <c:v>20.699618813826362</c:v>
                      </c:pt>
                      <c:pt idx="56">
                        <c:v>22.022304059379373</c:v>
                      </c:pt>
                      <c:pt idx="57">
                        <c:v>23.448086717383067</c:v>
                      </c:pt>
                      <c:pt idx="58">
                        <c:v>24.983898164779639</c:v>
                      </c:pt>
                      <c:pt idx="59">
                        <c:v>26.63707050529284</c:v>
                      </c:pt>
                      <c:pt idx="60">
                        <c:v>28.415359221025355</c:v>
                      </c:pt>
                      <c:pt idx="61">
                        <c:v>30.32693632906167</c:v>
                      </c:pt>
                      <c:pt idx="62">
                        <c:v>32.380404162672548</c:v>
                      </c:pt>
                      <c:pt idx="63">
                        <c:v>34.584775756624282</c:v>
                      </c:pt>
                      <c:pt idx="64">
                        <c:v>36.949488249637305</c:v>
                      </c:pt>
                      <c:pt idx="65">
                        <c:v>39.484384683167143</c:v>
                      </c:pt>
                      <c:pt idx="66">
                        <c:v>42.199706075104835</c:v>
                      </c:pt>
                      <c:pt idx="67">
                        <c:v>45.106074484944564</c:v>
                      </c:pt>
                      <c:pt idx="68">
                        <c:v>48.214489634507835</c:v>
                      </c:pt>
                      <c:pt idx="69">
                        <c:v>51.536287838468247</c:v>
                      </c:pt>
                      <c:pt idx="70">
                        <c:v>55.083146258654864</c:v>
                      </c:pt>
                      <c:pt idx="71">
                        <c:v>58.867032222440606</c:v>
                      </c:pt>
                      <c:pt idx="72">
                        <c:v>62.900202539325967</c:v>
                      </c:pt>
                      <c:pt idx="73">
                        <c:v>67.195161158282161</c:v>
                      </c:pt>
                      <c:pt idx="74">
                        <c:v>71.764634050976369</c:v>
                      </c:pt>
                      <c:pt idx="75">
                        <c:v>76.621539033864323</c:v>
                      </c:pt>
                      <c:pt idx="76">
                        <c:v>81.778954707287156</c:v>
                      </c:pt>
                      <c:pt idx="77">
                        <c:v>87.250088831769403</c:v>
                      </c:pt>
                      <c:pt idx="78">
                        <c:v>93.048240706274328</c:v>
                      </c:pt>
                      <c:pt idx="79">
                        <c:v>99.186790152316576</c:v>
                      </c:pt>
                      <c:pt idx="80">
                        <c:v>105.67913182602162</c:v>
                      </c:pt>
                      <c:pt idx="81">
                        <c:v>112.53867994597346</c:v>
                      </c:pt>
                      <c:pt idx="82">
                        <c:v>119.77880532248795</c:v>
                      </c:pt>
                      <c:pt idx="83">
                        <c:v>127.41283754143977</c:v>
                      </c:pt>
                      <c:pt idx="84">
                        <c:v>135.45400558510565</c:v>
                      </c:pt>
                      <c:pt idx="85">
                        <c:v>143.91544443512029</c:v>
                      </c:pt>
                      <c:pt idx="86">
                        <c:v>152.81013340196293</c:v>
                      </c:pt>
                      <c:pt idx="87">
                        <c:v>162.15090840067194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166-45AD-8D99-624936DBEA46}"/>
                  </c:ext>
                </c:extLst>
              </c15:ser>
            </c15:filteredScatterSeries>
            <c15:filteredScatterSeries>
              <c15:ser>
                <c:idx val="0"/>
                <c:order val="2"/>
                <c:tx>
                  <c:v>3</c:v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Results!$V$112:$V$204</c15:sqref>
                        </c15:formulaRef>
                      </c:ext>
                    </c:extLst>
                    <c:numCache>
                      <c:formatCode>0,000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Results!$R$112:$R$204</c15:sqref>
                        </c15:formulaRef>
                      </c:ext>
                    </c:extLst>
                    <c:numCache>
                      <c:formatCode>0,000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0166-45AD-8D99-624936DBEA46}"/>
                  </c:ext>
                </c:extLst>
              </c15:ser>
            </c15:filteredScatterSeries>
          </c:ext>
        </c:extLst>
      </c:scatterChart>
      <c:valAx>
        <c:axId val="43266979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z(3)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9074352"/>
        <c:crosses val="autoZero"/>
        <c:crossBetween val="midCat"/>
      </c:valAx>
      <c:valAx>
        <c:axId val="23907435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KD (3)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2669792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Radio" checked="Checked" firstButton="1" fmlaLink="$U$26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Radio" firstButton="1" fmlaLink="$U$26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35</xdr:row>
          <xdr:rowOff>0</xdr:rowOff>
        </xdr:from>
        <xdr:to>
          <xdr:col>22</xdr:col>
          <xdr:colOff>0</xdr:colOff>
          <xdr:row>36</xdr:row>
          <xdr:rowOff>175260</xdr:rowOff>
        </xdr:to>
        <xdr:sp macro="" textlink="">
          <xdr:nvSpPr>
            <xdr:cNvPr id="10241" name="Button 1" descr="Simulate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1104900</xdr:colOff>
          <xdr:row>27</xdr:row>
          <xdr:rowOff>213360</xdr:rowOff>
        </xdr:from>
        <xdr:to>
          <xdr:col>23</xdr:col>
          <xdr:colOff>0</xdr:colOff>
          <xdr:row>28</xdr:row>
          <xdr:rowOff>213360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1104900</xdr:colOff>
          <xdr:row>27</xdr:row>
          <xdr:rowOff>213360</xdr:rowOff>
        </xdr:from>
        <xdr:to>
          <xdr:col>23</xdr:col>
          <xdr:colOff>0</xdr:colOff>
          <xdr:row>28</xdr:row>
          <xdr:rowOff>213360</xdr:rowOff>
        </xdr:to>
        <xdr:sp macro="" textlink="">
          <xdr:nvSpPr>
            <xdr:cNvPr id="7170" name="Button 2" descr="Insert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34</xdr:row>
          <xdr:rowOff>0</xdr:rowOff>
        </xdr:from>
        <xdr:to>
          <xdr:col>23</xdr:col>
          <xdr:colOff>0</xdr:colOff>
          <xdr:row>35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549728</xdr:colOff>
          <xdr:row>24</xdr:row>
          <xdr:rowOff>142874</xdr:rowOff>
        </xdr:from>
        <xdr:to>
          <xdr:col>21</xdr:col>
          <xdr:colOff>1099457</xdr:colOff>
          <xdr:row>29</xdr:row>
          <xdr:rowOff>0</xdr:rowOff>
        </xdr:to>
        <xdr:grpSp>
          <xdr:nvGrpSpPr>
            <xdr:cNvPr id="5" name="Agrupar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pSpPr/>
          </xdr:nvGrpSpPr>
          <xdr:grpSpPr>
            <a:xfrm>
              <a:off x="16376244" y="4903469"/>
              <a:ext cx="1787867" cy="867560"/>
              <a:chOff x="15947571" y="5757033"/>
              <a:chExt cx="1752600" cy="1000096"/>
            </a:xfrm>
          </xdr:grpSpPr>
          <xdr:sp macro="" textlink="">
            <xdr:nvSpPr>
              <xdr:cNvPr id="7172" name="Option Button 4" descr="Component 1" hidden="1">
                <a:extLst>
                  <a:ext uri="{63B3BB69-23CF-44E3-9099-C40C66FF867C}">
                    <a14:compatExt spid="_x0000_s7172"/>
                  </a:ext>
                  <a:ext uri="{FF2B5EF4-FFF2-40B4-BE49-F238E27FC236}">
                    <a16:creationId xmlns:a16="http://schemas.microsoft.com/office/drawing/2014/main" id="{00000000-0008-0000-0100-0000041C0000}"/>
                  </a:ext>
                </a:extLst>
              </xdr:cNvPr>
              <xdr:cNvSpPr/>
            </xdr:nvSpPr>
            <xdr:spPr bwMode="auto">
              <a:xfrm>
                <a:off x="15947571" y="5757033"/>
                <a:ext cx="1752600" cy="318247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Component 1</a:t>
                </a:r>
              </a:p>
            </xdr:txBody>
          </xdr:sp>
          <xdr:sp macro="" textlink="">
            <xdr:nvSpPr>
              <xdr:cNvPr id="7173" name="Option Button 5" descr="Espécie 1" hidden="1">
                <a:extLst>
                  <a:ext uri="{63B3BB69-23CF-44E3-9099-C40C66FF867C}">
                    <a14:compatExt spid="_x0000_s7173"/>
                  </a:ext>
                  <a:ext uri="{FF2B5EF4-FFF2-40B4-BE49-F238E27FC236}">
                    <a16:creationId xmlns:a16="http://schemas.microsoft.com/office/drawing/2014/main" id="{00000000-0008-0000-0100-0000051C0000}"/>
                  </a:ext>
                </a:extLst>
              </xdr:cNvPr>
              <xdr:cNvSpPr/>
            </xdr:nvSpPr>
            <xdr:spPr bwMode="auto">
              <a:xfrm>
                <a:off x="15947571" y="6099642"/>
                <a:ext cx="1752600" cy="3143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Component 2</a:t>
                </a:r>
              </a:p>
            </xdr:txBody>
          </xdr:sp>
          <xdr:sp macro="" textlink="">
            <xdr:nvSpPr>
              <xdr:cNvPr id="7174" name="Option Button 6" descr="Espécie 1" hidden="1">
                <a:extLst>
                  <a:ext uri="{63B3BB69-23CF-44E3-9099-C40C66FF867C}">
                    <a14:compatExt spid="_x0000_s7174"/>
                  </a:ext>
                  <a:ext uri="{FF2B5EF4-FFF2-40B4-BE49-F238E27FC236}">
                    <a16:creationId xmlns:a16="http://schemas.microsoft.com/office/drawing/2014/main" id="{00000000-0008-0000-0100-0000061C0000}"/>
                  </a:ext>
                </a:extLst>
              </xdr:cNvPr>
              <xdr:cNvSpPr/>
            </xdr:nvSpPr>
            <xdr:spPr bwMode="auto">
              <a:xfrm>
                <a:off x="15947571" y="6442803"/>
                <a:ext cx="1752600" cy="31432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Component 3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1104900</xdr:colOff>
          <xdr:row>27</xdr:row>
          <xdr:rowOff>213360</xdr:rowOff>
        </xdr:from>
        <xdr:to>
          <xdr:col>23</xdr:col>
          <xdr:colOff>281940</xdr:colOff>
          <xdr:row>28</xdr:row>
          <xdr:rowOff>213360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1104900</xdr:colOff>
          <xdr:row>27</xdr:row>
          <xdr:rowOff>213360</xdr:rowOff>
        </xdr:from>
        <xdr:to>
          <xdr:col>23</xdr:col>
          <xdr:colOff>281940</xdr:colOff>
          <xdr:row>28</xdr:row>
          <xdr:rowOff>213360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34</xdr:row>
          <xdr:rowOff>0</xdr:rowOff>
        </xdr:from>
        <xdr:to>
          <xdr:col>23</xdr:col>
          <xdr:colOff>251460</xdr:colOff>
          <xdr:row>35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549728</xdr:colOff>
          <xdr:row>24</xdr:row>
          <xdr:rowOff>142874</xdr:rowOff>
        </xdr:from>
        <xdr:to>
          <xdr:col>21</xdr:col>
          <xdr:colOff>1099457</xdr:colOff>
          <xdr:row>29</xdr:row>
          <xdr:rowOff>0</xdr:rowOff>
        </xdr:to>
        <xdr:grpSp>
          <xdr:nvGrpSpPr>
            <xdr:cNvPr id="3" name="Agrupar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pSpPr/>
          </xdr:nvGrpSpPr>
          <xdr:grpSpPr>
            <a:xfrm>
              <a:off x="12242954" y="4903469"/>
              <a:ext cx="1523969" cy="867560"/>
              <a:chOff x="15947571" y="5757013"/>
              <a:chExt cx="1752600" cy="1000119"/>
            </a:xfrm>
          </xdr:grpSpPr>
          <xdr:sp macro="" textlink="">
            <xdr:nvSpPr>
              <xdr:cNvPr id="2055" name="Option Button 7" descr="Espécie 1" hidden="1">
                <a:extLst>
                  <a:ext uri="{63B3BB69-23CF-44E3-9099-C40C66FF867C}">
                    <a14:compatExt spid="_x0000_s2055"/>
                  </a:ext>
                  <a:ext uri="{FF2B5EF4-FFF2-40B4-BE49-F238E27FC236}">
                    <a16:creationId xmlns:a16="http://schemas.microsoft.com/office/drawing/2014/main" id="{00000000-0008-0000-0200-000007080000}"/>
                  </a:ext>
                </a:extLst>
              </xdr:cNvPr>
              <xdr:cNvSpPr/>
            </xdr:nvSpPr>
            <xdr:spPr bwMode="auto">
              <a:xfrm>
                <a:off x="15947571" y="5757013"/>
                <a:ext cx="1752600" cy="31824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Component 1</a:t>
                </a:r>
              </a:p>
            </xdr:txBody>
          </xdr:sp>
          <xdr:sp macro="" textlink="">
            <xdr:nvSpPr>
              <xdr:cNvPr id="2057" name="Option Button 9" descr="Espécie 1" hidden="1">
                <a:extLst>
                  <a:ext uri="{63B3BB69-23CF-44E3-9099-C40C66FF867C}">
                    <a14:compatExt spid="_x0000_s2057"/>
                  </a:ext>
                  <a:ext uri="{FF2B5EF4-FFF2-40B4-BE49-F238E27FC236}">
                    <a16:creationId xmlns:a16="http://schemas.microsoft.com/office/drawing/2014/main" id="{00000000-0008-0000-0200-000009080000}"/>
                  </a:ext>
                </a:extLst>
              </xdr:cNvPr>
              <xdr:cNvSpPr/>
            </xdr:nvSpPr>
            <xdr:spPr bwMode="auto">
              <a:xfrm>
                <a:off x="15947571" y="6099642"/>
                <a:ext cx="1752600" cy="31432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Component 2</a:t>
                </a:r>
              </a:p>
            </xdr:txBody>
          </xdr:sp>
          <xdr:sp macro="" textlink="">
            <xdr:nvSpPr>
              <xdr:cNvPr id="2058" name="Option Button 10" descr="Espécie 1" hidden="1">
                <a:extLst>
                  <a:ext uri="{63B3BB69-23CF-44E3-9099-C40C66FF867C}">
                    <a14:compatExt spid="_x0000_s2058"/>
                  </a:ext>
                  <a:ext uri="{FF2B5EF4-FFF2-40B4-BE49-F238E27FC236}">
                    <a16:creationId xmlns:a16="http://schemas.microsoft.com/office/drawing/2014/main" id="{00000000-0008-0000-0200-00000A080000}"/>
                  </a:ext>
                </a:extLst>
              </xdr:cNvPr>
              <xdr:cNvSpPr/>
            </xdr:nvSpPr>
            <xdr:spPr bwMode="auto">
              <a:xfrm>
                <a:off x="15947571" y="6442807"/>
                <a:ext cx="1752600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Component 3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18</xdr:col>
      <xdr:colOff>0</xdr:colOff>
      <xdr:row>38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9</xdr:col>
      <xdr:colOff>0</xdr:colOff>
      <xdr:row>38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12</xdr:row>
      <xdr:rowOff>0</xdr:rowOff>
    </xdr:from>
    <xdr:to>
      <xdr:col>27</xdr:col>
      <xdr:colOff>0</xdr:colOff>
      <xdr:row>38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en.wikipedia.org/wiki/UNIFAC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www.ddbst.com/published-parameters-unifac.html" TargetMode="External"/><Relationship Id="rId1" Type="http://schemas.openxmlformats.org/officeDocument/2006/relationships/hyperlink" Target="http://www.aim.env.uea.ac.uk/aim/info/UNIFACgroups.html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00B050"/>
  </sheetPr>
  <dimension ref="A1:AI38"/>
  <sheetViews>
    <sheetView tabSelected="1" zoomScaleNormal="100" workbookViewId="0">
      <selection activeCell="B16" sqref="B16:D16"/>
    </sheetView>
  </sheetViews>
  <sheetFormatPr defaultColWidth="0" defaultRowHeight="15" customHeight="1" zeroHeight="1" x14ac:dyDescent="0.3"/>
  <cols>
    <col min="1" max="1" width="3.77734375" style="1" customWidth="1"/>
    <col min="2" max="2" width="9.109375" style="1" customWidth="1"/>
    <col min="3" max="3" width="18.109375" style="1" customWidth="1"/>
    <col min="4" max="4" width="9.109375" style="1" customWidth="1"/>
    <col min="5" max="5" width="3.77734375" style="1" customWidth="1"/>
    <col min="6" max="6" width="6.33203125" style="1" bestFit="1" customWidth="1"/>
    <col min="7" max="7" width="8" style="1" bestFit="1" customWidth="1"/>
    <col min="8" max="8" width="9.88671875" style="1" bestFit="1" customWidth="1"/>
    <col min="9" max="9" width="8.44140625" style="1" bestFit="1" customWidth="1"/>
    <col min="10" max="10" width="3.77734375" style="1" customWidth="1"/>
    <col min="11" max="11" width="6.77734375" style="1" bestFit="1" customWidth="1"/>
    <col min="12" max="12" width="8" style="1" bestFit="1" customWidth="1"/>
    <col min="13" max="13" width="9.88671875" style="1" bestFit="1" customWidth="1"/>
    <col min="14" max="14" width="8.44140625" style="1" bestFit="1" customWidth="1"/>
    <col min="15" max="15" width="3.77734375" style="1" customWidth="1"/>
    <col min="16" max="16" width="6.33203125" style="1" bestFit="1" customWidth="1"/>
    <col min="17" max="17" width="8" style="1" bestFit="1" customWidth="1"/>
    <col min="18" max="18" width="9.88671875" style="1" bestFit="1" customWidth="1"/>
    <col min="19" max="19" width="8.44140625" style="1" bestFit="1" customWidth="1"/>
    <col min="20" max="20" width="3.77734375" style="1" customWidth="1"/>
    <col min="21" max="22" width="9.109375" style="1" customWidth="1"/>
    <col min="23" max="23" width="3.77734375" style="1" customWidth="1"/>
    <col min="24" max="27" width="9.109375" style="1" hidden="1" customWidth="1"/>
    <col min="28" max="35" width="9.109375" hidden="1" customWidth="1"/>
    <col min="36" max="16384" width="9.109375" style="1" hidden="1"/>
  </cols>
  <sheetData>
    <row r="1" spans="1:35" ht="15" customHeight="1" x14ac:dyDescent="0.3"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60"/>
      <c r="Y1" s="60"/>
      <c r="Z1" s="60"/>
      <c r="AA1" s="61"/>
      <c r="AB1" s="66"/>
      <c r="AC1" s="66"/>
      <c r="AD1" s="66"/>
      <c r="AE1" s="66"/>
      <c r="AF1" s="66"/>
      <c r="AG1" s="66"/>
      <c r="AH1" s="66"/>
      <c r="AI1" s="66"/>
    </row>
    <row r="2" spans="1:35" ht="15" customHeight="1" x14ac:dyDescent="0.3">
      <c r="A2" s="133" t="s">
        <v>182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62"/>
      <c r="Y2" s="62"/>
      <c r="Z2" s="62"/>
      <c r="AA2" s="63"/>
      <c r="AB2" s="66"/>
      <c r="AC2" s="66"/>
      <c r="AD2" s="66"/>
      <c r="AE2" s="66"/>
      <c r="AF2" s="66"/>
      <c r="AG2" s="66"/>
      <c r="AH2" s="66"/>
      <c r="AI2" s="66"/>
    </row>
    <row r="3" spans="1:35" ht="15" customHeight="1" x14ac:dyDescent="0.3">
      <c r="A3" s="133"/>
      <c r="B3" s="133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  <c r="S3" s="133"/>
      <c r="T3" s="133"/>
      <c r="U3" s="133"/>
      <c r="V3" s="133"/>
      <c r="W3" s="133"/>
      <c r="X3" s="64"/>
      <c r="Y3" s="64"/>
      <c r="Z3" s="64"/>
      <c r="AA3" s="65"/>
      <c r="AB3" s="66"/>
      <c r="AC3" s="66"/>
      <c r="AD3" s="66"/>
      <c r="AE3" s="66"/>
      <c r="AF3" s="66"/>
      <c r="AG3" s="66"/>
      <c r="AH3" s="66"/>
      <c r="AI3" s="66"/>
    </row>
    <row r="4" spans="1:35" ht="15" customHeight="1" x14ac:dyDescent="0.3">
      <c r="A4" s="88"/>
      <c r="AA4" s="3"/>
    </row>
    <row r="5" spans="1:35" ht="15" customHeight="1" x14ac:dyDescent="0.3">
      <c r="C5" s="109" t="s">
        <v>170</v>
      </c>
      <c r="D5" s="70">
        <v>25</v>
      </c>
      <c r="F5" s="143" t="s">
        <v>152</v>
      </c>
      <c r="G5" s="144"/>
      <c r="H5" s="144"/>
      <c r="I5" s="145"/>
      <c r="J5" s="6"/>
      <c r="K5" s="124" t="s">
        <v>153</v>
      </c>
      <c r="L5" s="125"/>
      <c r="M5" s="125"/>
      <c r="N5" s="126"/>
      <c r="O5" s="6"/>
      <c r="P5" s="124" t="s">
        <v>154</v>
      </c>
      <c r="Q5" s="125"/>
      <c r="R5" s="125"/>
      <c r="S5" s="126"/>
      <c r="AA5" s="3"/>
    </row>
    <row r="6" spans="1:35" ht="15" customHeight="1" x14ac:dyDescent="0.3">
      <c r="A6" s="88"/>
      <c r="B6" s="89"/>
      <c r="C6" s="89"/>
      <c r="F6" s="127" t="s">
        <v>155</v>
      </c>
      <c r="G6" s="128"/>
      <c r="H6" s="128"/>
      <c r="I6" s="129"/>
      <c r="J6" s="6"/>
      <c r="K6" s="127" t="s">
        <v>156</v>
      </c>
      <c r="L6" s="128"/>
      <c r="M6" s="128"/>
      <c r="N6" s="129"/>
      <c r="O6" s="6"/>
      <c r="P6" s="127" t="s">
        <v>157</v>
      </c>
      <c r="Q6" s="128"/>
      <c r="R6" s="128"/>
      <c r="S6" s="129"/>
      <c r="AA6" s="3"/>
    </row>
    <row r="7" spans="1:35" ht="15" customHeight="1" x14ac:dyDescent="0.3">
      <c r="A7" s="88"/>
      <c r="F7" s="130"/>
      <c r="G7" s="131"/>
      <c r="H7" s="131"/>
      <c r="I7" s="132"/>
      <c r="J7" s="6"/>
      <c r="K7" s="130"/>
      <c r="L7" s="131"/>
      <c r="M7" s="131"/>
      <c r="N7" s="132"/>
      <c r="O7" s="6"/>
      <c r="P7" s="130"/>
      <c r="Q7" s="131"/>
      <c r="R7" s="131"/>
      <c r="S7" s="132"/>
      <c r="AA7" s="3"/>
    </row>
    <row r="8" spans="1:35" ht="15" customHeight="1" x14ac:dyDescent="0.3">
      <c r="A8" s="88"/>
      <c r="F8" s="109" t="s">
        <v>158</v>
      </c>
      <c r="G8" s="110" t="s">
        <v>161</v>
      </c>
      <c r="H8" s="112" t="s">
        <v>160</v>
      </c>
      <c r="I8" s="111" t="s">
        <v>159</v>
      </c>
      <c r="J8" s="6"/>
      <c r="K8" s="109" t="s">
        <v>158</v>
      </c>
      <c r="L8" s="110" t="s">
        <v>161</v>
      </c>
      <c r="M8" s="112" t="s">
        <v>160</v>
      </c>
      <c r="N8" s="111" t="s">
        <v>159</v>
      </c>
      <c r="O8" s="6"/>
      <c r="P8" s="109" t="s">
        <v>158</v>
      </c>
      <c r="Q8" s="110" t="s">
        <v>161</v>
      </c>
      <c r="R8" s="112" t="s">
        <v>160</v>
      </c>
      <c r="S8" s="111" t="s">
        <v>159</v>
      </c>
      <c r="AA8" s="3"/>
    </row>
    <row r="9" spans="1:35" ht="15" customHeight="1" x14ac:dyDescent="0.3">
      <c r="A9" s="88"/>
      <c r="B9" s="146" t="s">
        <v>181</v>
      </c>
      <c r="C9" s="147"/>
      <c r="D9" s="148"/>
      <c r="F9" s="90" t="s">
        <v>142</v>
      </c>
      <c r="G9" s="91">
        <v>16</v>
      </c>
      <c r="H9" s="91">
        <v>7</v>
      </c>
      <c r="I9" s="92">
        <v>1</v>
      </c>
      <c r="J9" s="6"/>
      <c r="K9" s="90" t="s">
        <v>141</v>
      </c>
      <c r="L9" s="91">
        <v>1</v>
      </c>
      <c r="M9" s="91">
        <v>1</v>
      </c>
      <c r="N9" s="92">
        <v>1</v>
      </c>
      <c r="O9" s="6"/>
      <c r="P9" s="90" t="s">
        <v>141</v>
      </c>
      <c r="Q9" s="91">
        <v>1</v>
      </c>
      <c r="R9" s="91">
        <v>1</v>
      </c>
      <c r="S9" s="92">
        <v>1</v>
      </c>
      <c r="AA9" s="3"/>
    </row>
    <row r="10" spans="1:35" ht="15" customHeight="1" x14ac:dyDescent="0.3">
      <c r="A10" s="88"/>
      <c r="B10" s="137" t="s">
        <v>183</v>
      </c>
      <c r="C10" s="138"/>
      <c r="D10" s="139"/>
      <c r="F10" s="90"/>
      <c r="G10" s="91"/>
      <c r="H10" s="91"/>
      <c r="I10" s="92"/>
      <c r="J10" s="6"/>
      <c r="K10" s="90" t="s">
        <v>143</v>
      </c>
      <c r="L10" s="91">
        <v>2</v>
      </c>
      <c r="M10" s="91">
        <v>1</v>
      </c>
      <c r="N10" s="92">
        <v>1</v>
      </c>
      <c r="O10" s="6"/>
      <c r="P10" s="90" t="s">
        <v>51</v>
      </c>
      <c r="Q10" s="91">
        <v>42</v>
      </c>
      <c r="R10" s="91">
        <v>20</v>
      </c>
      <c r="S10" s="92">
        <v>1</v>
      </c>
      <c r="AA10" s="3"/>
    </row>
    <row r="11" spans="1:35" ht="15" customHeight="1" x14ac:dyDescent="0.3">
      <c r="A11" s="88"/>
      <c r="B11" s="137"/>
      <c r="C11" s="138"/>
      <c r="D11" s="139"/>
      <c r="F11" s="90"/>
      <c r="G11" s="91"/>
      <c r="H11" s="91"/>
      <c r="I11" s="92"/>
      <c r="J11" s="6"/>
      <c r="K11" s="90" t="s">
        <v>151</v>
      </c>
      <c r="L11" s="91">
        <v>21</v>
      </c>
      <c r="M11" s="91">
        <v>11</v>
      </c>
      <c r="N11" s="92">
        <v>1</v>
      </c>
      <c r="O11" s="6"/>
      <c r="P11" s="90"/>
      <c r="Q11" s="91"/>
      <c r="R11" s="91"/>
      <c r="S11" s="92"/>
      <c r="AA11" s="3"/>
    </row>
    <row r="12" spans="1:35" ht="15" customHeight="1" x14ac:dyDescent="0.3">
      <c r="A12" s="88"/>
      <c r="B12" s="137"/>
      <c r="C12" s="138"/>
      <c r="D12" s="139"/>
      <c r="F12" s="90"/>
      <c r="G12" s="91"/>
      <c r="H12" s="91"/>
      <c r="I12" s="92"/>
      <c r="J12" s="6"/>
      <c r="K12" s="90"/>
      <c r="L12" s="91"/>
      <c r="M12" s="91"/>
      <c r="N12" s="92"/>
      <c r="O12" s="6"/>
      <c r="P12" s="90"/>
      <c r="Q12" s="91"/>
      <c r="R12" s="91"/>
      <c r="S12" s="92"/>
      <c r="AA12" s="3"/>
    </row>
    <row r="13" spans="1:35" ht="15" customHeight="1" x14ac:dyDescent="0.3">
      <c r="A13" s="88"/>
      <c r="B13" s="137"/>
      <c r="C13" s="138"/>
      <c r="D13" s="139"/>
      <c r="F13" s="90"/>
      <c r="G13" s="91"/>
      <c r="H13" s="91"/>
      <c r="I13" s="92"/>
      <c r="J13" s="6"/>
      <c r="K13" s="90"/>
      <c r="L13" s="91"/>
      <c r="M13" s="91"/>
      <c r="N13" s="92"/>
      <c r="O13" s="6"/>
      <c r="P13" s="90"/>
      <c r="Q13" s="91"/>
      <c r="R13" s="91"/>
      <c r="S13" s="92"/>
      <c r="AA13" s="3"/>
    </row>
    <row r="14" spans="1:35" ht="15" customHeight="1" x14ac:dyDescent="0.3">
      <c r="A14" s="88"/>
      <c r="B14" s="137"/>
      <c r="C14" s="138"/>
      <c r="D14" s="139"/>
      <c r="F14" s="90"/>
      <c r="G14" s="91"/>
      <c r="H14" s="91"/>
      <c r="I14" s="92"/>
      <c r="J14" s="6"/>
      <c r="K14" s="90"/>
      <c r="L14" s="91"/>
      <c r="M14" s="91"/>
      <c r="N14" s="92"/>
      <c r="O14" s="6"/>
      <c r="P14" s="90"/>
      <c r="Q14" s="91"/>
      <c r="R14" s="91"/>
      <c r="S14" s="92"/>
      <c r="AA14" s="3"/>
    </row>
    <row r="15" spans="1:35" ht="15" customHeight="1" x14ac:dyDescent="0.3">
      <c r="A15" s="88"/>
      <c r="B15" s="137"/>
      <c r="C15" s="138"/>
      <c r="D15" s="139"/>
      <c r="F15" s="90"/>
      <c r="G15" s="91"/>
      <c r="H15" s="91"/>
      <c r="I15" s="92"/>
      <c r="J15" s="6"/>
      <c r="K15" s="90"/>
      <c r="L15" s="91"/>
      <c r="M15" s="91"/>
      <c r="N15" s="92"/>
      <c r="O15" s="6"/>
      <c r="P15" s="90"/>
      <c r="Q15" s="91"/>
      <c r="R15" s="91"/>
      <c r="S15" s="92"/>
      <c r="AA15" s="3"/>
    </row>
    <row r="16" spans="1:35" ht="15" customHeight="1" x14ac:dyDescent="0.3">
      <c r="A16" s="88"/>
      <c r="B16" s="137" t="s">
        <v>175</v>
      </c>
      <c r="C16" s="138"/>
      <c r="D16" s="139"/>
      <c r="F16" s="90"/>
      <c r="G16" s="91"/>
      <c r="H16" s="91"/>
      <c r="I16" s="92"/>
      <c r="J16" s="6"/>
      <c r="K16" s="90"/>
      <c r="L16" s="91"/>
      <c r="M16" s="91"/>
      <c r="N16" s="92"/>
      <c r="O16" s="6"/>
      <c r="P16" s="90"/>
      <c r="Q16" s="91"/>
      <c r="R16" s="91"/>
      <c r="S16" s="92"/>
      <c r="AA16" s="3"/>
    </row>
    <row r="17" spans="1:27" ht="15" customHeight="1" x14ac:dyDescent="0.3">
      <c r="A17" s="88"/>
      <c r="B17" s="134" t="s">
        <v>176</v>
      </c>
      <c r="C17" s="135"/>
      <c r="D17" s="136"/>
      <c r="F17" s="90"/>
      <c r="G17" s="91"/>
      <c r="H17" s="91"/>
      <c r="I17" s="92"/>
      <c r="J17" s="6"/>
      <c r="K17" s="90"/>
      <c r="L17" s="91"/>
      <c r="M17" s="91"/>
      <c r="N17" s="92"/>
      <c r="O17" s="6"/>
      <c r="P17" s="90"/>
      <c r="Q17" s="91"/>
      <c r="R17" s="91"/>
      <c r="S17" s="92"/>
      <c r="AA17" s="3"/>
    </row>
    <row r="18" spans="1:27" ht="15" customHeight="1" x14ac:dyDescent="0.3">
      <c r="A18" s="88"/>
      <c r="B18" s="134"/>
      <c r="C18" s="135"/>
      <c r="D18" s="136"/>
      <c r="F18" s="90"/>
      <c r="G18" s="91"/>
      <c r="H18" s="91"/>
      <c r="I18" s="92"/>
      <c r="J18" s="6"/>
      <c r="K18" s="90"/>
      <c r="L18" s="91"/>
      <c r="M18" s="91"/>
      <c r="N18" s="92"/>
      <c r="O18" s="6"/>
      <c r="P18" s="90"/>
      <c r="Q18" s="91"/>
      <c r="R18" s="91"/>
      <c r="S18" s="92"/>
      <c r="AA18" s="3"/>
    </row>
    <row r="19" spans="1:27" ht="15" customHeight="1" x14ac:dyDescent="0.3">
      <c r="A19" s="88"/>
      <c r="B19" s="93"/>
      <c r="C19" s="94"/>
      <c r="D19" s="95"/>
      <c r="F19" s="90"/>
      <c r="G19" s="91"/>
      <c r="H19" s="91"/>
      <c r="I19" s="92"/>
      <c r="J19" s="6"/>
      <c r="K19" s="90"/>
      <c r="L19" s="91"/>
      <c r="M19" s="91"/>
      <c r="N19" s="92"/>
      <c r="O19" s="6"/>
      <c r="P19" s="90"/>
      <c r="Q19" s="91"/>
      <c r="R19" s="91"/>
      <c r="S19" s="92"/>
      <c r="AA19" s="3"/>
    </row>
    <row r="20" spans="1:27" ht="15" customHeight="1" x14ac:dyDescent="0.3">
      <c r="A20" s="88"/>
      <c r="B20" s="137" t="s">
        <v>177</v>
      </c>
      <c r="C20" s="138"/>
      <c r="D20" s="139"/>
      <c r="F20" s="90"/>
      <c r="G20" s="91"/>
      <c r="H20" s="91"/>
      <c r="I20" s="92"/>
      <c r="J20" s="6"/>
      <c r="K20" s="90"/>
      <c r="L20" s="91"/>
      <c r="M20" s="91"/>
      <c r="N20" s="92"/>
      <c r="O20" s="6"/>
      <c r="P20" s="90"/>
      <c r="Q20" s="91"/>
      <c r="R20" s="91"/>
      <c r="S20" s="92"/>
      <c r="AA20" s="3"/>
    </row>
    <row r="21" spans="1:27" ht="15" customHeight="1" x14ac:dyDescent="0.3">
      <c r="A21" s="88"/>
      <c r="B21" s="134" t="s">
        <v>178</v>
      </c>
      <c r="C21" s="135"/>
      <c r="D21" s="136"/>
      <c r="F21" s="90"/>
      <c r="G21" s="91"/>
      <c r="H21" s="91"/>
      <c r="I21" s="92"/>
      <c r="J21" s="6"/>
      <c r="K21" s="90"/>
      <c r="L21" s="91"/>
      <c r="M21" s="91"/>
      <c r="N21" s="92"/>
      <c r="O21" s="6"/>
      <c r="P21" s="90"/>
      <c r="Q21" s="91"/>
      <c r="R21" s="91"/>
      <c r="S21" s="92"/>
      <c r="AA21" s="3"/>
    </row>
    <row r="22" spans="1:27" ht="15" customHeight="1" x14ac:dyDescent="0.3">
      <c r="A22" s="88"/>
      <c r="B22" s="134"/>
      <c r="C22" s="135"/>
      <c r="D22" s="136"/>
      <c r="F22" s="90"/>
      <c r="G22" s="91"/>
      <c r="H22" s="91"/>
      <c r="I22" s="92"/>
      <c r="J22" s="6"/>
      <c r="K22" s="90"/>
      <c r="L22" s="91"/>
      <c r="M22" s="91"/>
      <c r="N22" s="92"/>
      <c r="O22" s="6"/>
      <c r="P22" s="90"/>
      <c r="Q22" s="91"/>
      <c r="R22" s="91"/>
      <c r="S22" s="92"/>
      <c r="AA22" s="3"/>
    </row>
    <row r="23" spans="1:27" ht="15" customHeight="1" x14ac:dyDescent="0.3">
      <c r="A23" s="88"/>
      <c r="B23" s="96"/>
      <c r="C23" s="97"/>
      <c r="D23" s="98"/>
      <c r="F23" s="90"/>
      <c r="G23" s="91"/>
      <c r="H23" s="91"/>
      <c r="I23" s="92"/>
      <c r="J23" s="6"/>
      <c r="K23" s="90"/>
      <c r="L23" s="91"/>
      <c r="M23" s="91"/>
      <c r="N23" s="92"/>
      <c r="O23" s="6"/>
      <c r="P23" s="90"/>
      <c r="Q23" s="91"/>
      <c r="R23" s="91"/>
      <c r="S23" s="92"/>
      <c r="AA23" s="3"/>
    </row>
    <row r="24" spans="1:27" ht="15" customHeight="1" x14ac:dyDescent="0.3">
      <c r="A24" s="88"/>
      <c r="B24" s="137" t="s">
        <v>180</v>
      </c>
      <c r="C24" s="138"/>
      <c r="D24" s="139"/>
      <c r="F24" s="90"/>
      <c r="G24" s="91"/>
      <c r="H24" s="91"/>
      <c r="I24" s="92"/>
      <c r="J24" s="6"/>
      <c r="K24" s="90"/>
      <c r="L24" s="91"/>
      <c r="M24" s="91"/>
      <c r="N24" s="92"/>
      <c r="O24" s="6"/>
      <c r="P24" s="90"/>
      <c r="Q24" s="91"/>
      <c r="R24" s="91"/>
      <c r="S24" s="92"/>
      <c r="AA24" s="3"/>
    </row>
    <row r="25" spans="1:27" ht="15" customHeight="1" x14ac:dyDescent="0.3">
      <c r="A25" s="88"/>
      <c r="B25" s="140" t="s">
        <v>179</v>
      </c>
      <c r="C25" s="141"/>
      <c r="D25" s="142"/>
      <c r="F25" s="90"/>
      <c r="G25" s="91"/>
      <c r="H25" s="91"/>
      <c r="I25" s="92"/>
      <c r="J25" s="6"/>
      <c r="K25" s="90"/>
      <c r="L25" s="91"/>
      <c r="M25" s="91"/>
      <c r="N25" s="92"/>
      <c r="O25" s="6"/>
      <c r="P25" s="90"/>
      <c r="Q25" s="91"/>
      <c r="R25" s="91"/>
      <c r="S25" s="92"/>
      <c r="AA25" s="3"/>
    </row>
    <row r="26" spans="1:27" ht="15" customHeight="1" x14ac:dyDescent="0.3">
      <c r="A26" s="88"/>
      <c r="F26" s="90"/>
      <c r="G26" s="91"/>
      <c r="H26" s="91"/>
      <c r="I26" s="92"/>
      <c r="J26" s="6"/>
      <c r="K26" s="90"/>
      <c r="L26" s="91"/>
      <c r="M26" s="91"/>
      <c r="N26" s="92"/>
      <c r="O26" s="6"/>
      <c r="P26" s="90"/>
      <c r="Q26" s="91"/>
      <c r="R26" s="91"/>
      <c r="S26" s="92"/>
      <c r="AA26" s="3"/>
    </row>
    <row r="27" spans="1:27" ht="15" customHeight="1" x14ac:dyDescent="0.3">
      <c r="A27" s="88"/>
      <c r="F27" s="90"/>
      <c r="G27" s="91"/>
      <c r="H27" s="91"/>
      <c r="I27" s="92"/>
      <c r="J27" s="6"/>
      <c r="K27" s="90"/>
      <c r="L27" s="91"/>
      <c r="M27" s="91"/>
      <c r="N27" s="92"/>
      <c r="O27" s="6"/>
      <c r="P27" s="90"/>
      <c r="Q27" s="91"/>
      <c r="R27" s="91"/>
      <c r="S27" s="92"/>
      <c r="AA27" s="3"/>
    </row>
    <row r="28" spans="1:27" ht="15" customHeight="1" x14ac:dyDescent="0.3">
      <c r="A28" s="88"/>
      <c r="F28" s="90"/>
      <c r="G28" s="91"/>
      <c r="H28" s="91"/>
      <c r="I28" s="92"/>
      <c r="J28" s="6"/>
      <c r="K28" s="90"/>
      <c r="L28" s="91"/>
      <c r="M28" s="91"/>
      <c r="N28" s="92"/>
      <c r="O28" s="6"/>
      <c r="P28" s="90"/>
      <c r="Q28" s="91"/>
      <c r="R28" s="91"/>
      <c r="S28" s="92"/>
      <c r="AA28" s="3"/>
    </row>
    <row r="29" spans="1:27" ht="15" customHeight="1" x14ac:dyDescent="0.3">
      <c r="A29" s="88"/>
      <c r="F29" s="90"/>
      <c r="G29" s="91"/>
      <c r="H29" s="91"/>
      <c r="I29" s="92"/>
      <c r="J29" s="6"/>
      <c r="K29" s="90"/>
      <c r="L29" s="91"/>
      <c r="M29" s="91"/>
      <c r="N29" s="92"/>
      <c r="O29" s="6"/>
      <c r="P29" s="90"/>
      <c r="Q29" s="91"/>
      <c r="R29" s="91"/>
      <c r="S29" s="92"/>
      <c r="AA29" s="3"/>
    </row>
    <row r="30" spans="1:27" ht="15" customHeight="1" x14ac:dyDescent="0.3">
      <c r="A30" s="88"/>
      <c r="F30" s="90"/>
      <c r="G30" s="91"/>
      <c r="H30" s="91"/>
      <c r="I30" s="92"/>
      <c r="J30" s="6"/>
      <c r="K30" s="90"/>
      <c r="L30" s="91"/>
      <c r="M30" s="91"/>
      <c r="N30" s="92"/>
      <c r="O30" s="6"/>
      <c r="P30" s="90"/>
      <c r="Q30" s="91"/>
      <c r="R30" s="91"/>
      <c r="S30" s="92"/>
      <c r="AA30" s="3"/>
    </row>
    <row r="31" spans="1:27" ht="15" customHeight="1" x14ac:dyDescent="0.3">
      <c r="A31" s="88"/>
      <c r="F31" s="90"/>
      <c r="G31" s="91"/>
      <c r="H31" s="91"/>
      <c r="I31" s="92"/>
      <c r="J31" s="6"/>
      <c r="K31" s="90"/>
      <c r="L31" s="91"/>
      <c r="M31" s="91"/>
      <c r="N31" s="92"/>
      <c r="O31" s="6"/>
      <c r="P31" s="90"/>
      <c r="Q31" s="91"/>
      <c r="R31" s="91"/>
      <c r="S31" s="92"/>
      <c r="AA31" s="3"/>
    </row>
    <row r="32" spans="1:27" ht="15" customHeight="1" x14ac:dyDescent="0.3">
      <c r="A32" s="88"/>
      <c r="F32" s="90"/>
      <c r="G32" s="91"/>
      <c r="H32" s="91"/>
      <c r="I32" s="92"/>
      <c r="J32" s="6"/>
      <c r="K32" s="90"/>
      <c r="L32" s="91"/>
      <c r="M32" s="91"/>
      <c r="N32" s="92"/>
      <c r="O32" s="6"/>
      <c r="P32" s="90"/>
      <c r="Q32" s="91"/>
      <c r="R32" s="91"/>
      <c r="S32" s="92"/>
      <c r="AA32" s="3"/>
    </row>
    <row r="33" spans="1:27" ht="15" customHeight="1" x14ac:dyDescent="0.3">
      <c r="F33" s="90"/>
      <c r="G33" s="91"/>
      <c r="H33" s="91"/>
      <c r="I33" s="92"/>
      <c r="J33" s="6"/>
      <c r="K33" s="90"/>
      <c r="L33" s="91"/>
      <c r="M33" s="91"/>
      <c r="N33" s="92"/>
      <c r="O33" s="6"/>
      <c r="P33" s="90"/>
      <c r="Q33" s="91"/>
      <c r="R33" s="91"/>
      <c r="S33" s="92"/>
      <c r="AA33" s="3"/>
    </row>
    <row r="34" spans="1:27" ht="15" customHeight="1" x14ac:dyDescent="0.3">
      <c r="F34" s="90"/>
      <c r="G34" s="91"/>
      <c r="H34" s="91"/>
      <c r="I34" s="92"/>
      <c r="J34" s="6"/>
      <c r="K34" s="90"/>
      <c r="L34" s="91"/>
      <c r="M34" s="91"/>
      <c r="N34" s="92"/>
      <c r="O34" s="6"/>
      <c r="P34" s="90"/>
      <c r="Q34" s="91"/>
      <c r="R34" s="91"/>
      <c r="S34" s="92"/>
      <c r="AA34" s="3"/>
    </row>
    <row r="35" spans="1:27" ht="15" customHeight="1" x14ac:dyDescent="0.3">
      <c r="F35" s="90"/>
      <c r="G35" s="91"/>
      <c r="H35" s="91"/>
      <c r="I35" s="92"/>
      <c r="J35" s="6"/>
      <c r="K35" s="90"/>
      <c r="L35" s="91"/>
      <c r="M35" s="91"/>
      <c r="N35" s="92"/>
      <c r="O35" s="6"/>
      <c r="P35" s="90"/>
      <c r="Q35" s="91"/>
      <c r="R35" s="91"/>
      <c r="S35" s="92"/>
      <c r="AA35" s="3"/>
    </row>
    <row r="36" spans="1:27" ht="15" customHeight="1" x14ac:dyDescent="0.3">
      <c r="F36" s="90"/>
      <c r="G36" s="91"/>
      <c r="H36" s="91"/>
      <c r="I36" s="92"/>
      <c r="J36" s="6"/>
      <c r="K36" s="90"/>
      <c r="L36" s="91"/>
      <c r="M36" s="91"/>
      <c r="N36" s="92"/>
      <c r="O36" s="6"/>
      <c r="P36" s="90"/>
      <c r="Q36" s="91"/>
      <c r="R36" s="91"/>
      <c r="S36" s="92"/>
      <c r="AA36" s="3"/>
    </row>
    <row r="37" spans="1:27" ht="15" customHeight="1" x14ac:dyDescent="0.3">
      <c r="F37" s="99"/>
      <c r="G37" s="100"/>
      <c r="H37" s="100"/>
      <c r="I37" s="101"/>
      <c r="J37" s="6"/>
      <c r="K37" s="99"/>
      <c r="L37" s="100"/>
      <c r="M37" s="100"/>
      <c r="N37" s="101"/>
      <c r="O37" s="6"/>
      <c r="P37" s="99"/>
      <c r="Q37" s="100"/>
      <c r="R37" s="100"/>
      <c r="S37" s="101"/>
      <c r="AA37" s="3"/>
    </row>
    <row r="38" spans="1:27" ht="15" customHeight="1" x14ac:dyDescent="0.3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5"/>
    </row>
  </sheetData>
  <mergeCells count="15">
    <mergeCell ref="B21:D22"/>
    <mergeCell ref="B24:D24"/>
    <mergeCell ref="B25:D25"/>
    <mergeCell ref="F5:I5"/>
    <mergeCell ref="K5:N5"/>
    <mergeCell ref="B9:D9"/>
    <mergeCell ref="B10:D15"/>
    <mergeCell ref="B16:D16"/>
    <mergeCell ref="B17:D18"/>
    <mergeCell ref="B20:D20"/>
    <mergeCell ref="P5:S5"/>
    <mergeCell ref="F6:I7"/>
    <mergeCell ref="K6:N7"/>
    <mergeCell ref="P6:S7"/>
    <mergeCell ref="A2:W3"/>
  </mergeCells>
  <hyperlinks>
    <hyperlink ref="B17" r:id="rId1" xr:uid="{B41D990A-ACC3-4EB2-ABD9-7400AC4C029E}"/>
    <hyperlink ref="B21" r:id="rId2" xr:uid="{DB6E8C77-209A-4693-9E1C-95C4893A81D5}"/>
    <hyperlink ref="B25" r:id="rId3" xr:uid="{5526B61E-7BAE-4005-95AA-7A7497357914}"/>
  </hyperlinks>
  <pageMargins left="0.7" right="0.7" top="0.75" bottom="0.75" header="0.3" footer="0.3"/>
  <pageSetup paperSize="9" orientation="portrait" horizontalDpi="1200" verticalDpi="120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7" name="Button 1">
              <controlPr defaultSize="0" print="0" autoFill="0" autoPict="0" macro="[0]!Calcular" altText="Simulate">
                <anchor moveWithCells="1">
                  <from>
                    <xdr:col>20</xdr:col>
                    <xdr:colOff>0</xdr:colOff>
                    <xdr:row>35</xdr:row>
                    <xdr:rowOff>0</xdr:rowOff>
                  </from>
                  <to>
                    <xdr:col>22</xdr:col>
                    <xdr:colOff>0</xdr:colOff>
                    <xdr:row>36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99007-F5E3-4AC1-9AD9-F405B611F304}">
  <sheetPr codeName="Planilha6"/>
  <dimension ref="A1:AD40"/>
  <sheetViews>
    <sheetView zoomScale="85" zoomScaleNormal="85" workbookViewId="0">
      <selection activeCell="B2" sqref="B2:X4"/>
    </sheetView>
  </sheetViews>
  <sheetFormatPr defaultColWidth="0" defaultRowHeight="15" customHeight="1" zeroHeight="1" x14ac:dyDescent="0.3"/>
  <cols>
    <col min="1" max="1" width="9.109375" style="1" customWidth="1"/>
    <col min="2" max="2" width="8.33203125" style="6" bestFit="1" customWidth="1"/>
    <col min="3" max="3" width="12.88671875" style="6" bestFit="1" customWidth="1"/>
    <col min="4" max="4" width="16.5546875" style="6" bestFit="1" customWidth="1"/>
    <col min="5" max="5" width="14.6640625" style="6" bestFit="1" customWidth="1"/>
    <col min="6" max="6" width="11.44140625" style="1" bestFit="1" customWidth="1"/>
    <col min="7" max="7" width="9.109375" style="1" customWidth="1"/>
    <col min="8" max="8" width="8.33203125" style="1" bestFit="1" customWidth="1"/>
    <col min="9" max="9" width="12.88671875" style="1" bestFit="1" customWidth="1"/>
    <col min="10" max="10" width="16.5546875" style="1" bestFit="1" customWidth="1"/>
    <col min="11" max="11" width="14.6640625" style="1" bestFit="1" customWidth="1"/>
    <col min="12" max="12" width="11.44140625" style="1" bestFit="1" customWidth="1"/>
    <col min="13" max="13" width="9.109375" style="1" customWidth="1"/>
    <col min="14" max="14" width="8.33203125" style="1" bestFit="1" customWidth="1"/>
    <col min="15" max="15" width="15.44140625" style="1" bestFit="1" customWidth="1"/>
    <col min="16" max="16" width="16.5546875" style="1" bestFit="1" customWidth="1"/>
    <col min="17" max="17" width="14.6640625" style="1" bestFit="1" customWidth="1"/>
    <col min="18" max="18" width="11.44140625" style="1" bestFit="1" customWidth="1"/>
    <col min="19" max="19" width="9.109375" style="1" customWidth="1"/>
    <col min="20" max="20" width="8.33203125" style="6" bestFit="1" customWidth="1"/>
    <col min="21" max="21" width="9.6640625" style="6" bestFit="1" customWidth="1"/>
    <col min="22" max="22" width="16.5546875" style="6" bestFit="1" customWidth="1"/>
    <col min="23" max="23" width="14.6640625" style="6" bestFit="1" customWidth="1"/>
    <col min="24" max="24" width="11.44140625" style="6" bestFit="1" customWidth="1"/>
    <col min="25" max="25" width="9.109375" style="1" customWidth="1"/>
    <col min="26" max="30" width="0" style="1" hidden="1" customWidth="1"/>
    <col min="31" max="16384" width="9.109375" style="1" hidden="1"/>
  </cols>
  <sheetData>
    <row r="1" spans="1:30" s="2" customFormat="1" ht="14.4" x14ac:dyDescent="0.3">
      <c r="A1" s="26"/>
      <c r="B1" s="27"/>
      <c r="C1" s="27"/>
      <c r="D1" s="27"/>
      <c r="E1" s="27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7"/>
      <c r="U1" s="27"/>
      <c r="V1" s="27"/>
      <c r="W1" s="27"/>
      <c r="X1" s="27"/>
      <c r="Y1" s="28"/>
    </row>
    <row r="2" spans="1:30" ht="15" customHeight="1" x14ac:dyDescent="0.3">
      <c r="A2" s="29"/>
      <c r="B2" s="149" t="s">
        <v>164</v>
      </c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1"/>
      <c r="Y2" s="34"/>
      <c r="Z2" s="7"/>
      <c r="AA2" s="7"/>
      <c r="AB2" s="7"/>
      <c r="AC2" s="7"/>
      <c r="AD2" s="7"/>
    </row>
    <row r="3" spans="1:30" ht="15" customHeight="1" x14ac:dyDescent="0.3">
      <c r="A3" s="29"/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153"/>
      <c r="O3" s="153"/>
      <c r="P3" s="153"/>
      <c r="Q3" s="153"/>
      <c r="R3" s="153"/>
      <c r="S3" s="153"/>
      <c r="T3" s="153"/>
      <c r="U3" s="153"/>
      <c r="V3" s="153"/>
      <c r="W3" s="153"/>
      <c r="X3" s="154"/>
      <c r="Y3" s="34"/>
      <c r="Z3" s="7"/>
      <c r="AA3" s="7"/>
      <c r="AB3" s="7"/>
      <c r="AC3" s="7"/>
      <c r="AD3" s="7"/>
    </row>
    <row r="4" spans="1:30" ht="15" customHeight="1" x14ac:dyDescent="0.3">
      <c r="A4" s="29"/>
      <c r="B4" s="155"/>
      <c r="C4" s="156"/>
      <c r="D4" s="156"/>
      <c r="E4" s="156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156"/>
      <c r="R4" s="156"/>
      <c r="S4" s="156"/>
      <c r="T4" s="156"/>
      <c r="U4" s="156"/>
      <c r="V4" s="156"/>
      <c r="W4" s="156"/>
      <c r="X4" s="157"/>
      <c r="Y4" s="34"/>
      <c r="Z4" s="7"/>
      <c r="AA4" s="7"/>
      <c r="AB4" s="7"/>
      <c r="AC4" s="7"/>
      <c r="AD4" s="7"/>
    </row>
    <row r="5" spans="1:30" ht="14.4" x14ac:dyDescent="0.3">
      <c r="A5" s="29"/>
      <c r="B5" s="8" t="s">
        <v>161</v>
      </c>
      <c r="C5" s="9" t="s">
        <v>160</v>
      </c>
      <c r="D5" s="9" t="s">
        <v>162</v>
      </c>
      <c r="E5" s="9" t="s">
        <v>163</v>
      </c>
      <c r="F5" s="19" t="s">
        <v>159</v>
      </c>
      <c r="G5" s="36"/>
      <c r="H5" s="8" t="s">
        <v>161</v>
      </c>
      <c r="I5" s="9" t="s">
        <v>160</v>
      </c>
      <c r="J5" s="9" t="s">
        <v>162</v>
      </c>
      <c r="K5" s="9" t="s">
        <v>163</v>
      </c>
      <c r="L5" s="19" t="s">
        <v>159</v>
      </c>
      <c r="M5" s="36"/>
      <c r="N5" s="8" t="s">
        <v>161</v>
      </c>
      <c r="O5" s="9" t="s">
        <v>160</v>
      </c>
      <c r="P5" s="9" t="s">
        <v>162</v>
      </c>
      <c r="Q5" s="9" t="s">
        <v>163</v>
      </c>
      <c r="R5" s="19" t="s">
        <v>159</v>
      </c>
      <c r="S5" s="36"/>
      <c r="T5" s="8" t="s">
        <v>161</v>
      </c>
      <c r="U5" s="9" t="s">
        <v>160</v>
      </c>
      <c r="V5" s="9" t="s">
        <v>162</v>
      </c>
      <c r="W5" s="9" t="s">
        <v>163</v>
      </c>
      <c r="X5" s="19" t="s">
        <v>159</v>
      </c>
      <c r="Y5" s="35"/>
    </row>
    <row r="6" spans="1:30" ht="15.6" x14ac:dyDescent="0.3">
      <c r="A6" s="29"/>
      <c r="B6" s="16">
        <v>1</v>
      </c>
      <c r="C6" s="17" t="s">
        <v>4</v>
      </c>
      <c r="D6" s="17">
        <v>1</v>
      </c>
      <c r="E6" s="18" t="s">
        <v>5</v>
      </c>
      <c r="F6" s="39"/>
      <c r="G6" s="37"/>
      <c r="H6" s="16">
        <v>34</v>
      </c>
      <c r="I6" s="17" t="s">
        <v>40</v>
      </c>
      <c r="J6" s="17">
        <v>16</v>
      </c>
      <c r="K6" s="18" t="s">
        <v>42</v>
      </c>
      <c r="L6" s="39"/>
      <c r="M6" s="37"/>
      <c r="N6" s="16">
        <v>67</v>
      </c>
      <c r="O6" s="17" t="s">
        <v>76</v>
      </c>
      <c r="P6" s="17">
        <v>35</v>
      </c>
      <c r="Q6" s="18" t="s">
        <v>76</v>
      </c>
      <c r="R6" s="39"/>
      <c r="S6" s="37"/>
      <c r="T6" s="16">
        <v>100</v>
      </c>
      <c r="U6" s="17" t="s">
        <v>116</v>
      </c>
      <c r="V6" s="17">
        <v>47</v>
      </c>
      <c r="W6" s="18" t="s">
        <v>115</v>
      </c>
      <c r="X6" s="39"/>
      <c r="Y6" s="69"/>
    </row>
    <row r="7" spans="1:30" ht="15.6" x14ac:dyDescent="0.3">
      <c r="A7" s="29"/>
      <c r="B7" s="10">
        <v>2</v>
      </c>
      <c r="C7" s="11" t="s">
        <v>5</v>
      </c>
      <c r="D7" s="11">
        <v>1</v>
      </c>
      <c r="E7" s="14" t="s">
        <v>5</v>
      </c>
      <c r="F7" s="39"/>
      <c r="G7" s="37"/>
      <c r="H7" s="10">
        <v>35</v>
      </c>
      <c r="I7" s="11" t="s">
        <v>41</v>
      </c>
      <c r="J7" s="11">
        <v>16</v>
      </c>
      <c r="K7" s="14" t="s">
        <v>42</v>
      </c>
      <c r="L7" s="39"/>
      <c r="M7" s="37"/>
      <c r="N7" s="10">
        <v>68</v>
      </c>
      <c r="O7" s="11" t="s">
        <v>77</v>
      </c>
      <c r="P7" s="11">
        <v>36</v>
      </c>
      <c r="Q7" s="14" t="s">
        <v>77</v>
      </c>
      <c r="R7" s="39"/>
      <c r="S7" s="37"/>
      <c r="T7" s="10">
        <v>101</v>
      </c>
      <c r="U7" s="11" t="s">
        <v>117</v>
      </c>
      <c r="V7" s="11">
        <v>47</v>
      </c>
      <c r="W7" s="14" t="s">
        <v>115</v>
      </c>
      <c r="X7" s="39"/>
      <c r="Y7" s="69"/>
    </row>
    <row r="8" spans="1:30" ht="15.6" x14ac:dyDescent="0.3">
      <c r="A8" s="29"/>
      <c r="B8" s="10">
        <v>3</v>
      </c>
      <c r="C8" s="11" t="s">
        <v>6</v>
      </c>
      <c r="D8" s="11">
        <v>1</v>
      </c>
      <c r="E8" s="14" t="s">
        <v>5</v>
      </c>
      <c r="F8" s="39"/>
      <c r="G8" s="37"/>
      <c r="H8" s="10">
        <v>36</v>
      </c>
      <c r="I8" s="11" t="s">
        <v>43</v>
      </c>
      <c r="J8" s="11">
        <v>17</v>
      </c>
      <c r="K8" s="14" t="s">
        <v>43</v>
      </c>
      <c r="L8" s="39"/>
      <c r="M8" s="37"/>
      <c r="N8" s="10">
        <v>69</v>
      </c>
      <c r="O8" s="11" t="s">
        <v>79</v>
      </c>
      <c r="P8" s="11">
        <v>37</v>
      </c>
      <c r="Q8" s="14" t="s">
        <v>78</v>
      </c>
      <c r="R8" s="39"/>
      <c r="S8" s="37"/>
      <c r="T8" s="10">
        <v>102</v>
      </c>
      <c r="U8" s="11" t="s">
        <v>118</v>
      </c>
      <c r="V8" s="11">
        <v>48</v>
      </c>
      <c r="W8" s="14" t="s">
        <v>119</v>
      </c>
      <c r="X8" s="39"/>
      <c r="Y8" s="69"/>
    </row>
    <row r="9" spans="1:30" ht="15.6" x14ac:dyDescent="0.3">
      <c r="A9" s="29"/>
      <c r="B9" s="10">
        <v>4</v>
      </c>
      <c r="C9" s="11" t="s">
        <v>7</v>
      </c>
      <c r="D9" s="11">
        <v>1</v>
      </c>
      <c r="E9" s="14" t="s">
        <v>5</v>
      </c>
      <c r="F9" s="39"/>
      <c r="G9" s="37"/>
      <c r="H9" s="10">
        <v>37</v>
      </c>
      <c r="I9" s="11" t="s">
        <v>44</v>
      </c>
      <c r="J9" s="11">
        <v>18</v>
      </c>
      <c r="K9" s="14" t="s">
        <v>47</v>
      </c>
      <c r="L9" s="39"/>
      <c r="M9" s="37"/>
      <c r="N9" s="10">
        <v>70</v>
      </c>
      <c r="O9" s="11" t="s">
        <v>82</v>
      </c>
      <c r="P9" s="11">
        <v>2</v>
      </c>
      <c r="Q9" s="14" t="s">
        <v>82</v>
      </c>
      <c r="R9" s="39"/>
      <c r="S9" s="37"/>
      <c r="T9" s="10">
        <v>103</v>
      </c>
      <c r="U9" s="11" t="s">
        <v>119</v>
      </c>
      <c r="V9" s="11">
        <v>48</v>
      </c>
      <c r="W9" s="14" t="s">
        <v>119</v>
      </c>
      <c r="X9" s="39"/>
      <c r="Y9" s="69"/>
    </row>
    <row r="10" spans="1:30" ht="15.6" x14ac:dyDescent="0.3">
      <c r="A10" s="29"/>
      <c r="B10" s="10">
        <v>5</v>
      </c>
      <c r="C10" s="11" t="s">
        <v>8</v>
      </c>
      <c r="D10" s="11">
        <v>2</v>
      </c>
      <c r="E10" s="14" t="s">
        <v>9</v>
      </c>
      <c r="F10" s="39"/>
      <c r="G10" s="37"/>
      <c r="H10" s="10">
        <v>38</v>
      </c>
      <c r="I10" s="11" t="s">
        <v>45</v>
      </c>
      <c r="J10" s="11">
        <v>18</v>
      </c>
      <c r="K10" s="14" t="s">
        <v>47</v>
      </c>
      <c r="L10" s="39"/>
      <c r="M10" s="37"/>
      <c r="N10" s="10">
        <v>71</v>
      </c>
      <c r="O10" s="11" t="s">
        <v>83</v>
      </c>
      <c r="P10" s="11">
        <v>38</v>
      </c>
      <c r="Q10" s="14" t="s">
        <v>83</v>
      </c>
      <c r="R10" s="39"/>
      <c r="S10" s="37"/>
      <c r="T10" s="10">
        <v>104</v>
      </c>
      <c r="U10" s="11" t="s">
        <v>120</v>
      </c>
      <c r="V10" s="11">
        <v>48</v>
      </c>
      <c r="W10" s="14" t="s">
        <v>119</v>
      </c>
      <c r="X10" s="39"/>
      <c r="Y10" s="69"/>
    </row>
    <row r="11" spans="1:30" ht="15.6" x14ac:dyDescent="0.3">
      <c r="A11" s="29"/>
      <c r="B11" s="10">
        <v>6</v>
      </c>
      <c r="C11" s="11" t="s">
        <v>10</v>
      </c>
      <c r="D11" s="11">
        <v>2</v>
      </c>
      <c r="E11" s="14" t="s">
        <v>9</v>
      </c>
      <c r="F11" s="39"/>
      <c r="G11" s="37"/>
      <c r="H11" s="10">
        <v>39</v>
      </c>
      <c r="I11" s="11" t="s">
        <v>46</v>
      </c>
      <c r="J11" s="11">
        <v>18</v>
      </c>
      <c r="K11" s="14" t="s">
        <v>47</v>
      </c>
      <c r="L11" s="39"/>
      <c r="M11" s="37"/>
      <c r="N11" s="10">
        <v>72</v>
      </c>
      <c r="O11" s="11" t="s">
        <v>85</v>
      </c>
      <c r="P11" s="11">
        <v>39</v>
      </c>
      <c r="Q11" s="14" t="s">
        <v>84</v>
      </c>
      <c r="R11" s="39"/>
      <c r="S11" s="37"/>
      <c r="T11" s="10">
        <v>105</v>
      </c>
      <c r="U11" s="11" t="s">
        <v>121</v>
      </c>
      <c r="V11" s="11">
        <v>49</v>
      </c>
      <c r="W11" s="14" t="s">
        <v>123</v>
      </c>
      <c r="X11" s="39"/>
      <c r="Y11" s="69"/>
    </row>
    <row r="12" spans="1:30" ht="15.6" x14ac:dyDescent="0.3">
      <c r="A12" s="29"/>
      <c r="B12" s="10">
        <v>7</v>
      </c>
      <c r="C12" s="11" t="s">
        <v>11</v>
      </c>
      <c r="D12" s="11">
        <v>2</v>
      </c>
      <c r="E12" s="14" t="s">
        <v>9</v>
      </c>
      <c r="F12" s="39"/>
      <c r="G12" s="37"/>
      <c r="H12" s="10">
        <v>40</v>
      </c>
      <c r="I12" s="11" t="s">
        <v>49</v>
      </c>
      <c r="J12" s="11">
        <v>19</v>
      </c>
      <c r="K12" s="14" t="s">
        <v>48</v>
      </c>
      <c r="L12" s="39"/>
      <c r="M12" s="37"/>
      <c r="N12" s="10">
        <v>73</v>
      </c>
      <c r="O12" s="11" t="s">
        <v>86</v>
      </c>
      <c r="P12" s="11">
        <v>39</v>
      </c>
      <c r="Q12" s="14" t="s">
        <v>84</v>
      </c>
      <c r="R12" s="39"/>
      <c r="S12" s="37"/>
      <c r="T12" s="10">
        <v>106</v>
      </c>
      <c r="U12" s="11" t="s">
        <v>124</v>
      </c>
      <c r="V12" s="11">
        <v>50</v>
      </c>
      <c r="W12" s="14" t="s">
        <v>122</v>
      </c>
      <c r="X12" s="39"/>
      <c r="Y12" s="69"/>
    </row>
    <row r="13" spans="1:30" ht="15.6" x14ac:dyDescent="0.3">
      <c r="A13" s="29"/>
      <c r="B13" s="10">
        <v>8</v>
      </c>
      <c r="C13" s="11" t="s">
        <v>12</v>
      </c>
      <c r="D13" s="11">
        <v>2</v>
      </c>
      <c r="E13" s="14" t="s">
        <v>9</v>
      </c>
      <c r="F13" s="39"/>
      <c r="G13" s="37"/>
      <c r="H13" s="10">
        <v>41</v>
      </c>
      <c r="I13" s="11" t="s">
        <v>50</v>
      </c>
      <c r="J13" s="11">
        <v>19</v>
      </c>
      <c r="K13" s="14" t="s">
        <v>48</v>
      </c>
      <c r="L13" s="39"/>
      <c r="M13" s="37"/>
      <c r="N13" s="10">
        <v>74</v>
      </c>
      <c r="O13" s="11" t="s">
        <v>87</v>
      </c>
      <c r="P13" s="11">
        <v>40</v>
      </c>
      <c r="Q13" s="14" t="s">
        <v>88</v>
      </c>
      <c r="R13" s="39"/>
      <c r="S13" s="37"/>
      <c r="T13" s="10">
        <v>107</v>
      </c>
      <c r="U13" s="11" t="s">
        <v>125</v>
      </c>
      <c r="V13" s="11">
        <v>50</v>
      </c>
      <c r="W13" s="14" t="s">
        <v>122</v>
      </c>
      <c r="X13" s="39"/>
      <c r="Y13" s="69"/>
    </row>
    <row r="14" spans="1:30" ht="15.6" x14ac:dyDescent="0.3">
      <c r="A14" s="29"/>
      <c r="B14" s="10">
        <v>9</v>
      </c>
      <c r="C14" s="11" t="s">
        <v>13</v>
      </c>
      <c r="D14" s="11">
        <v>3</v>
      </c>
      <c r="E14" s="14" t="s">
        <v>13</v>
      </c>
      <c r="F14" s="39"/>
      <c r="G14" s="37"/>
      <c r="H14" s="10">
        <v>42</v>
      </c>
      <c r="I14" s="11" t="s">
        <v>51</v>
      </c>
      <c r="J14" s="11">
        <v>20</v>
      </c>
      <c r="K14" s="14" t="s">
        <v>51</v>
      </c>
      <c r="L14" s="39"/>
      <c r="M14" s="37"/>
      <c r="N14" s="10">
        <v>75</v>
      </c>
      <c r="O14" s="11" t="s">
        <v>88</v>
      </c>
      <c r="P14" s="11">
        <v>40</v>
      </c>
      <c r="Q14" s="14" t="s">
        <v>88</v>
      </c>
      <c r="R14" s="39"/>
      <c r="S14" s="37"/>
      <c r="T14" s="10">
        <v>108</v>
      </c>
      <c r="U14" s="11" t="s">
        <v>126</v>
      </c>
      <c r="V14" s="11">
        <v>50</v>
      </c>
      <c r="W14" s="14" t="s">
        <v>122</v>
      </c>
      <c r="X14" s="39"/>
      <c r="Y14" s="69"/>
    </row>
    <row r="15" spans="1:30" ht="15.6" x14ac:dyDescent="0.3">
      <c r="A15" s="29"/>
      <c r="B15" s="10">
        <v>10</v>
      </c>
      <c r="C15" s="11" t="s">
        <v>14</v>
      </c>
      <c r="D15" s="11">
        <v>3</v>
      </c>
      <c r="E15" s="14" t="s">
        <v>13</v>
      </c>
      <c r="F15" s="39"/>
      <c r="G15" s="37"/>
      <c r="H15" s="10">
        <v>43</v>
      </c>
      <c r="I15" s="11" t="s">
        <v>52</v>
      </c>
      <c r="J15" s="11">
        <v>20</v>
      </c>
      <c r="K15" s="14" t="s">
        <v>51</v>
      </c>
      <c r="L15" s="39"/>
      <c r="M15" s="37"/>
      <c r="N15" s="10">
        <v>76</v>
      </c>
      <c r="O15" s="11" t="s">
        <v>89</v>
      </c>
      <c r="P15" s="11">
        <v>40</v>
      </c>
      <c r="Q15" s="14" t="s">
        <v>88</v>
      </c>
      <c r="R15" s="39"/>
      <c r="S15" s="37"/>
      <c r="T15" s="10">
        <v>109</v>
      </c>
      <c r="U15" s="11" t="s">
        <v>127</v>
      </c>
      <c r="V15" s="11">
        <v>51</v>
      </c>
      <c r="W15" s="14" t="s">
        <v>127</v>
      </c>
      <c r="X15" s="39"/>
      <c r="Y15" s="69"/>
    </row>
    <row r="16" spans="1:30" ht="15.6" x14ac:dyDescent="0.3">
      <c r="A16" s="29"/>
      <c r="B16" s="10">
        <v>11</v>
      </c>
      <c r="C16" s="11" t="s">
        <v>15</v>
      </c>
      <c r="D16" s="11">
        <v>4</v>
      </c>
      <c r="E16" s="14" t="s">
        <v>16</v>
      </c>
      <c r="F16" s="39"/>
      <c r="G16" s="37"/>
      <c r="H16" s="10">
        <v>44</v>
      </c>
      <c r="I16" s="11" t="s">
        <v>54</v>
      </c>
      <c r="J16" s="11">
        <v>21</v>
      </c>
      <c r="K16" s="14" t="s">
        <v>53</v>
      </c>
      <c r="L16" s="39"/>
      <c r="M16" s="37"/>
      <c r="N16" s="10">
        <v>77</v>
      </c>
      <c r="O16" s="11" t="s">
        <v>90</v>
      </c>
      <c r="P16" s="11">
        <v>41</v>
      </c>
      <c r="Q16" s="14" t="s">
        <v>90</v>
      </c>
      <c r="R16" s="39"/>
      <c r="S16" s="37"/>
      <c r="T16" s="10">
        <v>110</v>
      </c>
      <c r="U16" s="11" t="s">
        <v>129</v>
      </c>
      <c r="V16" s="11">
        <v>55</v>
      </c>
      <c r="W16" s="14" t="s">
        <v>128</v>
      </c>
      <c r="X16" s="39"/>
      <c r="Y16" s="69"/>
    </row>
    <row r="17" spans="1:25" ht="15.6" x14ac:dyDescent="0.3">
      <c r="A17" s="29"/>
      <c r="B17" s="10">
        <v>12</v>
      </c>
      <c r="C17" s="11" t="s">
        <v>16</v>
      </c>
      <c r="D17" s="11">
        <v>4</v>
      </c>
      <c r="E17" s="14" t="s">
        <v>16</v>
      </c>
      <c r="F17" s="39"/>
      <c r="G17" s="37"/>
      <c r="H17" s="10">
        <v>45</v>
      </c>
      <c r="I17" s="11" t="s">
        <v>55</v>
      </c>
      <c r="J17" s="11">
        <v>21</v>
      </c>
      <c r="K17" s="14" t="s">
        <v>53</v>
      </c>
      <c r="L17" s="39"/>
      <c r="M17" s="37"/>
      <c r="N17" s="10">
        <v>78</v>
      </c>
      <c r="O17" s="11" t="s">
        <v>94</v>
      </c>
      <c r="P17" s="11">
        <v>42</v>
      </c>
      <c r="Q17" s="14" t="s">
        <v>91</v>
      </c>
      <c r="R17" s="39"/>
      <c r="S17" s="37"/>
      <c r="T17" s="10">
        <v>111</v>
      </c>
      <c r="U17" s="11" t="s">
        <v>130</v>
      </c>
      <c r="V17" s="11">
        <v>55</v>
      </c>
      <c r="W17" s="14" t="s">
        <v>128</v>
      </c>
      <c r="X17" s="39"/>
      <c r="Y17" s="69"/>
    </row>
    <row r="18" spans="1:25" ht="15.6" x14ac:dyDescent="0.3">
      <c r="A18" s="29"/>
      <c r="B18" s="10">
        <v>13</v>
      </c>
      <c r="C18" s="11" t="s">
        <v>17</v>
      </c>
      <c r="D18" s="11">
        <v>4</v>
      </c>
      <c r="E18" s="14" t="s">
        <v>16</v>
      </c>
      <c r="F18" s="39"/>
      <c r="G18" s="37"/>
      <c r="H18" s="10">
        <v>46</v>
      </c>
      <c r="I18" s="11" t="s">
        <v>53</v>
      </c>
      <c r="J18" s="11">
        <v>21</v>
      </c>
      <c r="K18" s="14" t="s">
        <v>53</v>
      </c>
      <c r="L18" s="39"/>
      <c r="M18" s="37"/>
      <c r="N18" s="10">
        <v>79</v>
      </c>
      <c r="O18" s="11" t="s">
        <v>91</v>
      </c>
      <c r="P18" s="11">
        <v>42</v>
      </c>
      <c r="Q18" s="14" t="s">
        <v>91</v>
      </c>
      <c r="R18" s="39"/>
      <c r="S18" s="37"/>
      <c r="T18" s="10">
        <v>112</v>
      </c>
      <c r="U18" s="11" t="s">
        <v>133</v>
      </c>
      <c r="V18" s="11">
        <v>84</v>
      </c>
      <c r="W18" s="14" t="s">
        <v>132</v>
      </c>
      <c r="X18" s="39"/>
      <c r="Y18" s="69"/>
    </row>
    <row r="19" spans="1:25" ht="15.6" x14ac:dyDescent="0.3">
      <c r="A19" s="29"/>
      <c r="B19" s="10">
        <v>14</v>
      </c>
      <c r="C19" s="11" t="s">
        <v>18</v>
      </c>
      <c r="D19" s="11">
        <v>5</v>
      </c>
      <c r="E19" s="14" t="s">
        <v>18</v>
      </c>
      <c r="F19" s="39"/>
      <c r="G19" s="37"/>
      <c r="H19" s="10">
        <v>47</v>
      </c>
      <c r="I19" s="11" t="s">
        <v>57</v>
      </c>
      <c r="J19" s="11">
        <v>22</v>
      </c>
      <c r="K19" s="14" t="s">
        <v>56</v>
      </c>
      <c r="L19" s="39"/>
      <c r="M19" s="37"/>
      <c r="N19" s="10">
        <v>80</v>
      </c>
      <c r="O19" s="11" t="s">
        <v>92</v>
      </c>
      <c r="P19" s="11">
        <v>42</v>
      </c>
      <c r="Q19" s="14" t="s">
        <v>91</v>
      </c>
      <c r="R19" s="39"/>
      <c r="S19" s="37"/>
      <c r="T19" s="12">
        <v>113</v>
      </c>
      <c r="U19" s="13" t="s">
        <v>131</v>
      </c>
      <c r="V19" s="13">
        <v>85</v>
      </c>
      <c r="W19" s="15" t="s">
        <v>131</v>
      </c>
      <c r="X19" s="39"/>
      <c r="Y19" s="69"/>
    </row>
    <row r="20" spans="1:25" ht="15.6" x14ac:dyDescent="0.3">
      <c r="A20" s="29"/>
      <c r="B20" s="10">
        <v>15</v>
      </c>
      <c r="C20" s="11" t="s">
        <v>19</v>
      </c>
      <c r="D20" s="11">
        <v>6</v>
      </c>
      <c r="E20" s="14" t="s">
        <v>19</v>
      </c>
      <c r="F20" s="39"/>
      <c r="G20" s="37"/>
      <c r="H20" s="10">
        <v>48</v>
      </c>
      <c r="I20" s="11" t="s">
        <v>58</v>
      </c>
      <c r="J20" s="11">
        <v>22</v>
      </c>
      <c r="K20" s="14" t="s">
        <v>56</v>
      </c>
      <c r="L20" s="39"/>
      <c r="M20" s="37"/>
      <c r="N20" s="10">
        <v>81</v>
      </c>
      <c r="O20" s="11" t="s">
        <v>93</v>
      </c>
      <c r="P20" s="11">
        <v>42</v>
      </c>
      <c r="Q20" s="14" t="s">
        <v>91</v>
      </c>
      <c r="R20" s="39"/>
      <c r="S20" s="37"/>
      <c r="T20" s="158" t="s">
        <v>165</v>
      </c>
      <c r="U20" s="159"/>
      <c r="V20" s="159"/>
      <c r="W20" s="159"/>
      <c r="X20" s="160"/>
      <c r="Y20" s="35"/>
    </row>
    <row r="21" spans="1:25" ht="15.6" x14ac:dyDescent="0.3">
      <c r="A21" s="29"/>
      <c r="B21" s="10">
        <v>16</v>
      </c>
      <c r="C21" s="11" t="s">
        <v>20</v>
      </c>
      <c r="D21" s="11">
        <v>7</v>
      </c>
      <c r="E21" s="14" t="s">
        <v>20</v>
      </c>
      <c r="F21" s="39"/>
      <c r="G21" s="37"/>
      <c r="H21" s="10">
        <v>49</v>
      </c>
      <c r="I21" s="11" t="s">
        <v>56</v>
      </c>
      <c r="J21" s="11">
        <v>22</v>
      </c>
      <c r="K21" s="14" t="s">
        <v>56</v>
      </c>
      <c r="L21" s="39"/>
      <c r="M21" s="37"/>
      <c r="N21" s="10">
        <v>82</v>
      </c>
      <c r="O21" s="11" t="s">
        <v>96</v>
      </c>
      <c r="P21" s="11">
        <v>43</v>
      </c>
      <c r="Q21" s="14" t="s">
        <v>95</v>
      </c>
      <c r="R21" s="39"/>
      <c r="S21" s="37"/>
      <c r="T21" s="161"/>
      <c r="U21" s="162"/>
      <c r="V21" s="162"/>
      <c r="W21" s="162"/>
      <c r="X21" s="163"/>
      <c r="Y21" s="35"/>
    </row>
    <row r="22" spans="1:25" ht="15.6" x14ac:dyDescent="0.3">
      <c r="A22" s="29"/>
      <c r="B22" s="10">
        <v>17</v>
      </c>
      <c r="C22" s="11" t="s">
        <v>21</v>
      </c>
      <c r="D22" s="11">
        <v>8</v>
      </c>
      <c r="E22" s="14" t="s">
        <v>21</v>
      </c>
      <c r="F22" s="39"/>
      <c r="G22" s="37"/>
      <c r="H22" s="10">
        <v>50</v>
      </c>
      <c r="I22" s="11" t="s">
        <v>60</v>
      </c>
      <c r="J22" s="11">
        <v>23</v>
      </c>
      <c r="K22" s="14" t="s">
        <v>59</v>
      </c>
      <c r="L22" s="39"/>
      <c r="M22" s="37"/>
      <c r="N22" s="10">
        <v>83</v>
      </c>
      <c r="O22" s="11" t="s">
        <v>97</v>
      </c>
      <c r="P22" s="11">
        <v>43</v>
      </c>
      <c r="Q22" s="14" t="s">
        <v>95</v>
      </c>
      <c r="R22" s="39"/>
      <c r="S22" s="37"/>
      <c r="T22" s="164"/>
      <c r="U22" s="165"/>
      <c r="V22" s="21"/>
      <c r="W22" s="21"/>
      <c r="X22" s="22"/>
      <c r="Y22" s="35"/>
    </row>
    <row r="23" spans="1:25" ht="15.6" x14ac:dyDescent="0.3">
      <c r="A23" s="29"/>
      <c r="B23" s="10">
        <v>18</v>
      </c>
      <c r="C23" s="11" t="s">
        <v>22</v>
      </c>
      <c r="D23" s="11">
        <v>9</v>
      </c>
      <c r="E23" s="14" t="s">
        <v>23</v>
      </c>
      <c r="F23" s="39"/>
      <c r="G23" s="37"/>
      <c r="H23" s="10">
        <v>51</v>
      </c>
      <c r="I23" s="11" t="s">
        <v>59</v>
      </c>
      <c r="J23" s="11">
        <v>23</v>
      </c>
      <c r="K23" s="14" t="s">
        <v>59</v>
      </c>
      <c r="L23" s="39"/>
      <c r="M23" s="37"/>
      <c r="N23" s="10">
        <v>84</v>
      </c>
      <c r="O23" s="11" t="s">
        <v>95</v>
      </c>
      <c r="P23" s="11">
        <v>43</v>
      </c>
      <c r="Q23" s="14" t="s">
        <v>95</v>
      </c>
      <c r="R23" s="39"/>
      <c r="S23" s="37"/>
      <c r="T23" s="25"/>
      <c r="U23" s="166" t="s">
        <v>166</v>
      </c>
      <c r="V23" s="166"/>
      <c r="W23" s="166"/>
      <c r="X23" s="22"/>
      <c r="Y23" s="35"/>
    </row>
    <row r="24" spans="1:25" ht="15.6" x14ac:dyDescent="0.3">
      <c r="A24" s="29"/>
      <c r="B24" s="10">
        <v>19</v>
      </c>
      <c r="C24" s="11" t="s">
        <v>23</v>
      </c>
      <c r="D24" s="11">
        <v>9</v>
      </c>
      <c r="E24" s="14" t="s">
        <v>23</v>
      </c>
      <c r="F24" s="39"/>
      <c r="G24" s="37"/>
      <c r="H24" s="10">
        <v>52</v>
      </c>
      <c r="I24" s="11" t="s">
        <v>61</v>
      </c>
      <c r="J24" s="11">
        <v>24</v>
      </c>
      <c r="K24" s="14" t="s">
        <v>61</v>
      </c>
      <c r="L24" s="39"/>
      <c r="M24" s="37"/>
      <c r="N24" s="10">
        <v>85</v>
      </c>
      <c r="O24" s="11" t="s">
        <v>98</v>
      </c>
      <c r="P24" s="11">
        <v>44</v>
      </c>
      <c r="Q24" s="14" t="s">
        <v>98</v>
      </c>
      <c r="R24" s="39"/>
      <c r="S24" s="37"/>
      <c r="T24" s="21"/>
      <c r="U24" s="167"/>
      <c r="V24" s="168"/>
      <c r="W24" s="169"/>
      <c r="X24" s="22"/>
      <c r="Y24" s="35"/>
    </row>
    <row r="25" spans="1:25" ht="15.6" x14ac:dyDescent="0.3">
      <c r="A25" s="29"/>
      <c r="B25" s="10">
        <v>20</v>
      </c>
      <c r="C25" s="11" t="s">
        <v>24</v>
      </c>
      <c r="D25" s="11">
        <v>10</v>
      </c>
      <c r="E25" s="14" t="s">
        <v>24</v>
      </c>
      <c r="F25" s="39"/>
      <c r="G25" s="37"/>
      <c r="H25" s="10">
        <v>53</v>
      </c>
      <c r="I25" s="11" t="s">
        <v>62</v>
      </c>
      <c r="J25" s="11">
        <v>25</v>
      </c>
      <c r="K25" s="14" t="s">
        <v>62</v>
      </c>
      <c r="L25" s="39"/>
      <c r="M25" s="37"/>
      <c r="N25" s="10">
        <v>86</v>
      </c>
      <c r="O25" s="11" t="s">
        <v>99</v>
      </c>
      <c r="P25" s="11">
        <v>45</v>
      </c>
      <c r="Q25" s="14" t="s">
        <v>100</v>
      </c>
      <c r="R25" s="39"/>
      <c r="S25" s="37"/>
      <c r="T25" s="21"/>
      <c r="U25" s="21"/>
      <c r="V25" s="21"/>
      <c r="W25" s="21"/>
      <c r="X25" s="22"/>
      <c r="Y25" s="35"/>
    </row>
    <row r="26" spans="1:25" ht="15.6" x14ac:dyDescent="0.3">
      <c r="A26" s="29"/>
      <c r="B26" s="10">
        <v>21</v>
      </c>
      <c r="C26" s="11" t="s">
        <v>25</v>
      </c>
      <c r="D26" s="11">
        <v>11</v>
      </c>
      <c r="E26" s="14" t="s">
        <v>27</v>
      </c>
      <c r="F26" s="39"/>
      <c r="G26" s="37"/>
      <c r="H26" s="10">
        <v>54</v>
      </c>
      <c r="I26" s="11" t="s">
        <v>64</v>
      </c>
      <c r="J26" s="11">
        <v>26</v>
      </c>
      <c r="K26" s="14" t="s">
        <v>63</v>
      </c>
      <c r="L26" s="39"/>
      <c r="M26" s="37"/>
      <c r="N26" s="10">
        <v>87</v>
      </c>
      <c r="O26" s="11" t="s">
        <v>101</v>
      </c>
      <c r="P26" s="11">
        <v>45</v>
      </c>
      <c r="Q26" s="14" t="s">
        <v>100</v>
      </c>
      <c r="R26" s="39"/>
      <c r="S26" s="37"/>
      <c r="T26" s="21"/>
      <c r="U26" s="67">
        <v>1</v>
      </c>
      <c r="V26" s="21"/>
      <c r="W26" s="21"/>
      <c r="X26" s="22"/>
      <c r="Y26" s="35"/>
    </row>
    <row r="27" spans="1:25" ht="15.6" x14ac:dyDescent="0.3">
      <c r="A27" s="29"/>
      <c r="B27" s="10">
        <v>22</v>
      </c>
      <c r="C27" s="11" t="s">
        <v>26</v>
      </c>
      <c r="D27" s="11">
        <v>11</v>
      </c>
      <c r="E27" s="14" t="s">
        <v>27</v>
      </c>
      <c r="F27" s="39"/>
      <c r="G27" s="37"/>
      <c r="H27" s="10">
        <v>55</v>
      </c>
      <c r="I27" s="11" t="s">
        <v>65</v>
      </c>
      <c r="J27" s="11">
        <v>26</v>
      </c>
      <c r="K27" s="14" t="s">
        <v>63</v>
      </c>
      <c r="L27" s="39"/>
      <c r="M27" s="37"/>
      <c r="N27" s="10">
        <v>88</v>
      </c>
      <c r="O27" s="11" t="s">
        <v>102</v>
      </c>
      <c r="P27" s="11">
        <v>45</v>
      </c>
      <c r="Q27" s="14" t="s">
        <v>100</v>
      </c>
      <c r="R27" s="39"/>
      <c r="S27" s="37"/>
      <c r="T27" s="21"/>
      <c r="U27" s="21"/>
      <c r="V27" s="21"/>
      <c r="W27" s="21"/>
      <c r="X27" s="22"/>
      <c r="Y27" s="35"/>
    </row>
    <row r="28" spans="1:25" ht="15.6" x14ac:dyDescent="0.3">
      <c r="A28" s="29"/>
      <c r="B28" s="10">
        <v>23</v>
      </c>
      <c r="C28" s="11" t="s">
        <v>28</v>
      </c>
      <c r="D28" s="11">
        <v>12</v>
      </c>
      <c r="E28" s="14" t="s">
        <v>28</v>
      </c>
      <c r="F28" s="39"/>
      <c r="G28" s="37"/>
      <c r="H28" s="10">
        <v>56</v>
      </c>
      <c r="I28" s="11" t="s">
        <v>66</v>
      </c>
      <c r="J28" s="11">
        <v>26</v>
      </c>
      <c r="K28" s="14" t="s">
        <v>63</v>
      </c>
      <c r="L28" s="39"/>
      <c r="M28" s="37"/>
      <c r="N28" s="10">
        <v>89</v>
      </c>
      <c r="O28" s="11" t="s">
        <v>103</v>
      </c>
      <c r="P28" s="11">
        <v>45</v>
      </c>
      <c r="Q28" s="14" t="s">
        <v>100</v>
      </c>
      <c r="R28" s="39"/>
      <c r="S28" s="37"/>
      <c r="T28" s="21"/>
      <c r="U28" s="21"/>
      <c r="V28" s="21"/>
      <c r="W28" s="21"/>
      <c r="X28" s="22"/>
      <c r="Y28" s="35"/>
    </row>
    <row r="29" spans="1:25" ht="15.6" x14ac:dyDescent="0.3">
      <c r="A29" s="29"/>
      <c r="B29" s="10">
        <v>24</v>
      </c>
      <c r="C29" s="11" t="s">
        <v>29</v>
      </c>
      <c r="D29" s="11">
        <v>13</v>
      </c>
      <c r="E29" s="14" t="s">
        <v>30</v>
      </c>
      <c r="F29" s="39"/>
      <c r="G29" s="37"/>
      <c r="H29" s="10">
        <v>57</v>
      </c>
      <c r="I29" s="11" t="s">
        <v>67</v>
      </c>
      <c r="J29" s="11">
        <v>27</v>
      </c>
      <c r="K29" s="14" t="s">
        <v>67</v>
      </c>
      <c r="L29" s="39"/>
      <c r="M29" s="37"/>
      <c r="N29" s="10">
        <v>90</v>
      </c>
      <c r="O29" s="11" t="s">
        <v>104</v>
      </c>
      <c r="P29" s="11">
        <v>45</v>
      </c>
      <c r="Q29" s="14" t="s">
        <v>100</v>
      </c>
      <c r="R29" s="39"/>
      <c r="S29" s="37"/>
      <c r="T29" s="21"/>
      <c r="U29" s="21"/>
      <c r="V29" s="21"/>
      <c r="W29" s="21"/>
      <c r="X29" s="22"/>
      <c r="Y29" s="35"/>
    </row>
    <row r="30" spans="1:25" ht="15.6" x14ac:dyDescent="0.3">
      <c r="A30" s="29"/>
      <c r="B30" s="10">
        <v>25</v>
      </c>
      <c r="C30" s="11" t="s">
        <v>30</v>
      </c>
      <c r="D30" s="11">
        <v>13</v>
      </c>
      <c r="E30" s="14" t="s">
        <v>30</v>
      </c>
      <c r="F30" s="39"/>
      <c r="G30" s="37"/>
      <c r="H30" s="10">
        <v>58</v>
      </c>
      <c r="I30" s="11" t="s">
        <v>68</v>
      </c>
      <c r="J30" s="11">
        <v>28</v>
      </c>
      <c r="K30" s="14" t="s">
        <v>68</v>
      </c>
      <c r="L30" s="39"/>
      <c r="M30" s="37"/>
      <c r="N30" s="10">
        <v>91</v>
      </c>
      <c r="O30" s="11" t="s">
        <v>105</v>
      </c>
      <c r="P30" s="11">
        <v>45</v>
      </c>
      <c r="Q30" s="14" t="s">
        <v>100</v>
      </c>
      <c r="R30" s="39"/>
      <c r="S30" s="37"/>
      <c r="T30" s="21"/>
      <c r="U30" s="21"/>
      <c r="V30" s="21"/>
      <c r="W30" s="21"/>
      <c r="X30" s="22"/>
      <c r="Y30" s="35"/>
    </row>
    <row r="31" spans="1:25" ht="15.6" x14ac:dyDescent="0.3">
      <c r="A31" s="29"/>
      <c r="B31" s="10">
        <v>26</v>
      </c>
      <c r="C31" s="11" t="s">
        <v>24</v>
      </c>
      <c r="D31" s="11">
        <v>13</v>
      </c>
      <c r="E31" s="14" t="s">
        <v>30</v>
      </c>
      <c r="F31" s="39"/>
      <c r="G31" s="37"/>
      <c r="H31" s="10">
        <v>59</v>
      </c>
      <c r="I31" s="11" t="s">
        <v>69</v>
      </c>
      <c r="J31" s="11">
        <v>29</v>
      </c>
      <c r="K31" s="14" t="s">
        <v>69</v>
      </c>
      <c r="L31" s="39"/>
      <c r="M31" s="37"/>
      <c r="N31" s="10">
        <v>92</v>
      </c>
      <c r="O31" s="11" t="s">
        <v>106</v>
      </c>
      <c r="P31" s="11">
        <v>45</v>
      </c>
      <c r="Q31" s="14" t="s">
        <v>100</v>
      </c>
      <c r="R31" s="39"/>
      <c r="S31" s="37"/>
      <c r="T31" s="21"/>
      <c r="U31" s="21"/>
      <c r="V31" s="21"/>
      <c r="W31" s="21"/>
      <c r="X31" s="22"/>
      <c r="Y31" s="35"/>
    </row>
    <row r="32" spans="1:25" ht="15.6" x14ac:dyDescent="0.3">
      <c r="A32" s="29"/>
      <c r="B32" s="10">
        <v>27</v>
      </c>
      <c r="C32" s="11" t="s">
        <v>31</v>
      </c>
      <c r="D32" s="11">
        <v>13</v>
      </c>
      <c r="E32" s="14" t="s">
        <v>30</v>
      </c>
      <c r="F32" s="39"/>
      <c r="G32" s="37"/>
      <c r="H32" s="10">
        <v>60</v>
      </c>
      <c r="I32" s="11" t="s">
        <v>70</v>
      </c>
      <c r="J32" s="11">
        <v>29</v>
      </c>
      <c r="K32" s="14" t="s">
        <v>69</v>
      </c>
      <c r="L32" s="39"/>
      <c r="M32" s="37"/>
      <c r="N32" s="10">
        <v>93</v>
      </c>
      <c r="O32" s="11" t="s">
        <v>107</v>
      </c>
      <c r="P32" s="11">
        <v>45</v>
      </c>
      <c r="Q32" s="14" t="s">
        <v>100</v>
      </c>
      <c r="R32" s="39"/>
      <c r="S32" s="37"/>
      <c r="T32" s="21"/>
      <c r="U32" s="21"/>
      <c r="V32" s="21"/>
      <c r="W32" s="21"/>
      <c r="X32" s="22"/>
      <c r="Y32" s="35"/>
    </row>
    <row r="33" spans="1:25" ht="15.6" x14ac:dyDescent="0.3">
      <c r="A33" s="29"/>
      <c r="B33" s="10">
        <v>28</v>
      </c>
      <c r="C33" s="11" t="s">
        <v>32</v>
      </c>
      <c r="D33" s="11">
        <v>14</v>
      </c>
      <c r="E33" s="14" t="s">
        <v>35</v>
      </c>
      <c r="F33" s="39"/>
      <c r="G33" s="37"/>
      <c r="H33" s="10">
        <v>61</v>
      </c>
      <c r="I33" s="11" t="s">
        <v>72</v>
      </c>
      <c r="J33" s="11">
        <v>30</v>
      </c>
      <c r="K33" s="14" t="s">
        <v>71</v>
      </c>
      <c r="L33" s="39"/>
      <c r="M33" s="37"/>
      <c r="N33" s="10">
        <v>94</v>
      </c>
      <c r="O33" s="11" t="s">
        <v>109</v>
      </c>
      <c r="P33" s="11">
        <v>46</v>
      </c>
      <c r="Q33" s="14" t="s">
        <v>108</v>
      </c>
      <c r="R33" s="39"/>
      <c r="S33" s="37"/>
      <c r="T33" s="21"/>
      <c r="U33" s="21"/>
      <c r="V33" s="21"/>
      <c r="W33" s="21"/>
      <c r="X33" s="22"/>
      <c r="Y33" s="35"/>
    </row>
    <row r="34" spans="1:25" ht="15.6" x14ac:dyDescent="0.3">
      <c r="A34" s="29"/>
      <c r="B34" s="10">
        <v>29</v>
      </c>
      <c r="C34" s="11" t="s">
        <v>33</v>
      </c>
      <c r="D34" s="11">
        <v>14</v>
      </c>
      <c r="E34" s="14" t="s">
        <v>35</v>
      </c>
      <c r="F34" s="39"/>
      <c r="G34" s="37"/>
      <c r="H34" s="10">
        <v>62</v>
      </c>
      <c r="I34" s="11" t="s">
        <v>73</v>
      </c>
      <c r="J34" s="11">
        <v>31</v>
      </c>
      <c r="K34" s="14" t="s">
        <v>73</v>
      </c>
      <c r="L34" s="39"/>
      <c r="M34" s="37"/>
      <c r="N34" s="10">
        <v>95</v>
      </c>
      <c r="O34" s="11" t="s">
        <v>111</v>
      </c>
      <c r="P34" s="11">
        <v>46</v>
      </c>
      <c r="Q34" s="14" t="s">
        <v>108</v>
      </c>
      <c r="R34" s="39"/>
      <c r="S34" s="37"/>
      <c r="T34" s="21"/>
      <c r="U34" s="21"/>
      <c r="V34" s="21"/>
      <c r="W34" s="21"/>
      <c r="X34" s="22"/>
      <c r="Y34" s="35"/>
    </row>
    <row r="35" spans="1:25" ht="15.6" x14ac:dyDescent="0.3">
      <c r="A35" s="29"/>
      <c r="B35" s="10">
        <v>30</v>
      </c>
      <c r="C35" s="11" t="s">
        <v>34</v>
      </c>
      <c r="D35" s="11">
        <v>14</v>
      </c>
      <c r="E35" s="14" t="s">
        <v>35</v>
      </c>
      <c r="F35" s="39"/>
      <c r="G35" s="37"/>
      <c r="H35" s="10">
        <v>63</v>
      </c>
      <c r="I35" s="11" t="s">
        <v>74</v>
      </c>
      <c r="J35" s="11">
        <v>32</v>
      </c>
      <c r="K35" s="14" t="s">
        <v>74</v>
      </c>
      <c r="L35" s="39"/>
      <c r="M35" s="37"/>
      <c r="N35" s="10">
        <v>96</v>
      </c>
      <c r="O35" s="11" t="s">
        <v>110</v>
      </c>
      <c r="P35" s="11">
        <v>46</v>
      </c>
      <c r="Q35" s="14" t="s">
        <v>108</v>
      </c>
      <c r="R35" s="39"/>
      <c r="S35" s="37"/>
      <c r="T35" s="21"/>
      <c r="U35" s="21"/>
      <c r="V35" s="21"/>
      <c r="W35" s="21"/>
      <c r="X35" s="22"/>
      <c r="Y35" s="35"/>
    </row>
    <row r="36" spans="1:25" ht="15.6" x14ac:dyDescent="0.3">
      <c r="A36" s="29"/>
      <c r="B36" s="10">
        <v>31</v>
      </c>
      <c r="C36" s="11" t="s">
        <v>37</v>
      </c>
      <c r="D36" s="11">
        <v>15</v>
      </c>
      <c r="E36" s="14" t="s">
        <v>36</v>
      </c>
      <c r="F36" s="39"/>
      <c r="G36" s="37"/>
      <c r="H36" s="10">
        <v>64</v>
      </c>
      <c r="I36" s="11" t="s">
        <v>75</v>
      </c>
      <c r="J36" s="11">
        <v>33</v>
      </c>
      <c r="K36" s="14" t="s">
        <v>75</v>
      </c>
      <c r="L36" s="39"/>
      <c r="M36" s="37"/>
      <c r="N36" s="10">
        <v>97</v>
      </c>
      <c r="O36" s="11" t="s">
        <v>112</v>
      </c>
      <c r="P36" s="11">
        <v>46</v>
      </c>
      <c r="Q36" s="14" t="s">
        <v>108</v>
      </c>
      <c r="R36" s="39"/>
      <c r="S36" s="37"/>
      <c r="T36" s="21"/>
      <c r="U36" s="21"/>
      <c r="V36" s="21"/>
      <c r="W36" s="21"/>
      <c r="X36" s="22"/>
      <c r="Y36" s="35"/>
    </row>
    <row r="37" spans="1:25" ht="15.6" x14ac:dyDescent="0.3">
      <c r="A37" s="29"/>
      <c r="B37" s="10">
        <v>32</v>
      </c>
      <c r="C37" s="11" t="s">
        <v>38</v>
      </c>
      <c r="D37" s="11">
        <v>15</v>
      </c>
      <c r="E37" s="14" t="s">
        <v>36</v>
      </c>
      <c r="F37" s="39"/>
      <c r="G37" s="37"/>
      <c r="H37" s="10">
        <v>65</v>
      </c>
      <c r="I37" s="11" t="s">
        <v>80</v>
      </c>
      <c r="J37" s="11">
        <v>34</v>
      </c>
      <c r="K37" s="14" t="s">
        <v>81</v>
      </c>
      <c r="L37" s="39"/>
      <c r="M37" s="37"/>
      <c r="N37" s="10">
        <v>98</v>
      </c>
      <c r="O37" s="11" t="s">
        <v>113</v>
      </c>
      <c r="P37" s="11">
        <v>46</v>
      </c>
      <c r="Q37" s="14" t="s">
        <v>108</v>
      </c>
      <c r="R37" s="39"/>
      <c r="S37" s="37"/>
      <c r="T37" s="21"/>
      <c r="U37" s="21"/>
      <c r="V37" s="21"/>
      <c r="W37" s="21"/>
      <c r="X37" s="22"/>
      <c r="Y37" s="35"/>
    </row>
    <row r="38" spans="1:25" ht="15.6" x14ac:dyDescent="0.3">
      <c r="A38" s="29"/>
      <c r="B38" s="10">
        <v>33</v>
      </c>
      <c r="C38" s="11" t="s">
        <v>39</v>
      </c>
      <c r="D38" s="11">
        <v>15</v>
      </c>
      <c r="E38" s="14" t="s">
        <v>36</v>
      </c>
      <c r="F38" s="39"/>
      <c r="G38" s="37"/>
      <c r="H38" s="10">
        <v>66</v>
      </c>
      <c r="I38" s="11" t="s">
        <v>81</v>
      </c>
      <c r="J38" s="11">
        <v>34</v>
      </c>
      <c r="K38" s="14" t="s">
        <v>81</v>
      </c>
      <c r="L38" s="39"/>
      <c r="M38" s="37"/>
      <c r="N38" s="10">
        <v>99</v>
      </c>
      <c r="O38" s="11" t="s">
        <v>114</v>
      </c>
      <c r="P38" s="11">
        <v>46</v>
      </c>
      <c r="Q38" s="14" t="s">
        <v>108</v>
      </c>
      <c r="R38" s="39"/>
      <c r="S38" s="37"/>
      <c r="T38" s="21"/>
      <c r="U38" s="21"/>
      <c r="V38" s="21"/>
      <c r="W38" s="21"/>
      <c r="X38" s="22"/>
      <c r="Y38" s="35"/>
    </row>
    <row r="39" spans="1:25" ht="14.4" x14ac:dyDescent="0.3">
      <c r="A39" s="29"/>
      <c r="B39" s="12"/>
      <c r="C39" s="13"/>
      <c r="D39" s="13"/>
      <c r="E39" s="15"/>
      <c r="F39" s="39"/>
      <c r="G39" s="38"/>
      <c r="H39" s="12"/>
      <c r="I39" s="13"/>
      <c r="J39" s="13"/>
      <c r="K39" s="15"/>
      <c r="L39" s="39"/>
      <c r="M39" s="38"/>
      <c r="N39" s="12"/>
      <c r="O39" s="13"/>
      <c r="P39" s="13"/>
      <c r="Q39" s="15"/>
      <c r="R39" s="39"/>
      <c r="S39" s="38"/>
      <c r="T39" s="23"/>
      <c r="U39" s="23"/>
      <c r="V39" s="23"/>
      <c r="W39" s="23"/>
      <c r="X39" s="24"/>
      <c r="Y39" s="35"/>
    </row>
    <row r="40" spans="1:25" ht="14.4" x14ac:dyDescent="0.3">
      <c r="A40" s="30"/>
      <c r="B40" s="31"/>
      <c r="C40" s="31"/>
      <c r="D40" s="31"/>
      <c r="E40" s="31"/>
      <c r="F40" s="68"/>
      <c r="G40" s="32"/>
      <c r="H40" s="32"/>
      <c r="I40" s="32"/>
      <c r="J40" s="32"/>
      <c r="K40" s="32"/>
      <c r="L40" s="68"/>
      <c r="M40" s="32"/>
      <c r="N40" s="32"/>
      <c r="O40" s="32"/>
      <c r="P40" s="32"/>
      <c r="Q40" s="32"/>
      <c r="R40" s="68"/>
      <c r="S40" s="32"/>
      <c r="T40" s="31"/>
      <c r="U40" s="31"/>
      <c r="V40" s="31"/>
      <c r="W40" s="31"/>
      <c r="X40" s="31"/>
      <c r="Y40" s="33"/>
    </row>
  </sheetData>
  <mergeCells count="5">
    <mergeCell ref="B2:X4"/>
    <mergeCell ref="T20:X21"/>
    <mergeCell ref="T22:U22"/>
    <mergeCell ref="U23:W23"/>
    <mergeCell ref="U24:W24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otão4_Clique">
                <anchor moveWithCells="1">
                  <from>
                    <xdr:col>21</xdr:col>
                    <xdr:colOff>1104900</xdr:colOff>
                    <xdr:row>27</xdr:row>
                    <xdr:rowOff>213360</xdr:rowOff>
                  </from>
                  <to>
                    <xdr:col>23</xdr:col>
                    <xdr:colOff>0</xdr:colOff>
                    <xdr:row>28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Inserir" altText="Insert">
                <anchor moveWithCells="1">
                  <from>
                    <xdr:col>21</xdr:col>
                    <xdr:colOff>1104900</xdr:colOff>
                    <xdr:row>27</xdr:row>
                    <xdr:rowOff>213360</xdr:rowOff>
                  </from>
                  <to>
                    <xdr:col>23</xdr:col>
                    <xdr:colOff>0</xdr:colOff>
                    <xdr:row>28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Limpar">
                <anchor moveWithCells="1">
                  <from>
                    <xdr:col>22</xdr:col>
                    <xdr:colOff>0</xdr:colOff>
                    <xdr:row>34</xdr:row>
                    <xdr:rowOff>0</xdr:rowOff>
                  </from>
                  <to>
                    <xdr:col>23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Option Button 4">
              <controlPr defaultSize="0" autoFill="0" autoLine="0" autoPict="0" altText="Component 1">
                <anchor moveWithCells="1">
                  <from>
                    <xdr:col>19</xdr:col>
                    <xdr:colOff>556260</xdr:colOff>
                    <xdr:row>24</xdr:row>
                    <xdr:rowOff>137160</xdr:rowOff>
                  </from>
                  <to>
                    <xdr:col>21</xdr:col>
                    <xdr:colOff>1097280</xdr:colOff>
                    <xdr:row>26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Option Button 5">
              <controlPr defaultSize="0" autoFill="0" autoLine="0" autoPict="0" altText="Espécie 1">
                <anchor moveWithCells="1">
                  <from>
                    <xdr:col>19</xdr:col>
                    <xdr:colOff>556260</xdr:colOff>
                    <xdr:row>26</xdr:row>
                    <xdr:rowOff>38100</xdr:rowOff>
                  </from>
                  <to>
                    <xdr:col>21</xdr:col>
                    <xdr:colOff>1097280</xdr:colOff>
                    <xdr:row>27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Option Button 6">
              <controlPr defaultSize="0" autoFill="0" autoLine="0" autoPict="0" altText="Espécie 1">
                <anchor moveWithCells="1">
                  <from>
                    <xdr:col>19</xdr:col>
                    <xdr:colOff>556260</xdr:colOff>
                    <xdr:row>27</xdr:row>
                    <xdr:rowOff>129540</xdr:rowOff>
                  </from>
                  <to>
                    <xdr:col>21</xdr:col>
                    <xdr:colOff>1097280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874F5-719D-48B5-B1CD-F2D64B630DBE}">
  <sheetPr codeName="Planilha2">
    <tabColor rgb="FF0070C0"/>
  </sheetPr>
  <dimension ref="A1:AD40"/>
  <sheetViews>
    <sheetView zoomScale="85" zoomScaleNormal="85" workbookViewId="0">
      <selection activeCell="S14" sqref="S14"/>
    </sheetView>
  </sheetViews>
  <sheetFormatPr defaultColWidth="0" defaultRowHeight="14.4" zeroHeight="1" x14ac:dyDescent="0.3"/>
  <cols>
    <col min="1" max="1" width="3.77734375" style="1" customWidth="1"/>
    <col min="2" max="2" width="7.88671875" style="6" bestFit="1" customWidth="1"/>
    <col min="3" max="3" width="12.33203125" style="6" bestFit="1" customWidth="1"/>
    <col min="4" max="4" width="12.6640625" style="6" bestFit="1" customWidth="1"/>
    <col min="5" max="5" width="11" style="6" bestFit="1" customWidth="1"/>
    <col min="6" max="6" width="8.33203125" style="1" bestFit="1" customWidth="1"/>
    <col min="7" max="7" width="3.77734375" style="1" customWidth="1"/>
    <col min="8" max="8" width="7.88671875" style="1" bestFit="1" customWidth="1"/>
    <col min="9" max="9" width="9.21875" style="1" bestFit="1" customWidth="1"/>
    <col min="10" max="10" width="12.6640625" style="1" bestFit="1" customWidth="1"/>
    <col min="11" max="11" width="11" style="1" bestFit="1" customWidth="1"/>
    <col min="12" max="12" width="8.33203125" style="1" bestFit="1" customWidth="1"/>
    <col min="13" max="13" width="3.77734375" style="1" customWidth="1"/>
    <col min="14" max="14" width="7.88671875" style="1" bestFit="1" customWidth="1"/>
    <col min="15" max="15" width="14.88671875" style="1" bestFit="1" customWidth="1"/>
    <col min="16" max="16" width="12.6640625" style="1" bestFit="1" customWidth="1"/>
    <col min="17" max="17" width="11" style="1" bestFit="1" customWidth="1"/>
    <col min="18" max="18" width="8.33203125" style="1" bestFit="1" customWidth="1"/>
    <col min="19" max="19" width="3.77734375" style="1" customWidth="1"/>
    <col min="20" max="20" width="7.88671875" style="6" bestFit="1" customWidth="1"/>
    <col min="21" max="21" width="9.5546875" style="6" bestFit="1" customWidth="1"/>
    <col min="22" max="22" width="12.6640625" style="6" bestFit="1" customWidth="1"/>
    <col min="23" max="23" width="11" style="6" bestFit="1" customWidth="1"/>
    <col min="24" max="24" width="8.33203125" style="6" bestFit="1" customWidth="1"/>
    <col min="25" max="25" width="3.77734375" style="1" customWidth="1"/>
    <col min="26" max="30" width="0" style="1" hidden="1" customWidth="1"/>
    <col min="31" max="16384" width="9.109375" style="1" hidden="1"/>
  </cols>
  <sheetData>
    <row r="1" spans="1:30" s="2" customFormat="1" x14ac:dyDescent="0.3">
      <c r="A1" s="1"/>
      <c r="B1" s="6"/>
      <c r="C1" s="6"/>
      <c r="D1" s="6"/>
      <c r="E1" s="6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6"/>
      <c r="U1" s="6"/>
      <c r="V1" s="6"/>
      <c r="W1" s="6"/>
      <c r="X1" s="6"/>
      <c r="Y1" s="1"/>
    </row>
    <row r="2" spans="1:30" ht="15" customHeight="1" x14ac:dyDescent="0.3">
      <c r="A2" s="170" t="s">
        <v>164</v>
      </c>
      <c r="B2" s="170"/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0"/>
      <c r="X2" s="170"/>
      <c r="Y2" s="170"/>
      <c r="Z2" s="7"/>
      <c r="AA2" s="7"/>
      <c r="AB2" s="7"/>
      <c r="AC2" s="7"/>
      <c r="AD2" s="7"/>
    </row>
    <row r="3" spans="1:30" ht="15" customHeight="1" x14ac:dyDescent="0.3">
      <c r="A3" s="170"/>
      <c r="B3" s="170"/>
      <c r="C3" s="170"/>
      <c r="D3" s="170"/>
      <c r="E3" s="170"/>
      <c r="F3" s="170"/>
      <c r="G3" s="170"/>
      <c r="H3" s="170"/>
      <c r="I3" s="170"/>
      <c r="J3" s="170"/>
      <c r="K3" s="170"/>
      <c r="L3" s="170"/>
      <c r="M3" s="170"/>
      <c r="N3" s="170"/>
      <c r="O3" s="170"/>
      <c r="P3" s="170"/>
      <c r="Q3" s="170"/>
      <c r="R3" s="170"/>
      <c r="S3" s="170"/>
      <c r="T3" s="170"/>
      <c r="U3" s="170"/>
      <c r="V3" s="170"/>
      <c r="W3" s="170"/>
      <c r="X3" s="170"/>
      <c r="Y3" s="170"/>
      <c r="Z3" s="7"/>
      <c r="AA3" s="7"/>
      <c r="AB3" s="7"/>
      <c r="AC3" s="7"/>
      <c r="AD3" s="7"/>
    </row>
    <row r="4" spans="1:30" ht="15" customHeight="1" x14ac:dyDescent="0.3">
      <c r="B4" s="107"/>
      <c r="C4" s="107"/>
      <c r="D4" s="107"/>
      <c r="E4" s="107"/>
      <c r="F4" s="107"/>
      <c r="G4" s="108"/>
      <c r="H4" s="107"/>
      <c r="I4" s="107"/>
      <c r="J4" s="107"/>
      <c r="K4" s="107"/>
      <c r="L4" s="107"/>
      <c r="M4" s="108"/>
      <c r="N4" s="107"/>
      <c r="O4" s="107"/>
      <c r="P4" s="107"/>
      <c r="Q4" s="107"/>
      <c r="R4" s="107"/>
      <c r="S4" s="108"/>
      <c r="T4" s="107"/>
      <c r="U4" s="107"/>
      <c r="V4" s="107"/>
      <c r="W4" s="107"/>
      <c r="X4" s="107"/>
      <c r="Y4" s="7"/>
      <c r="Z4" s="7"/>
      <c r="AA4" s="7"/>
      <c r="AB4" s="7"/>
      <c r="AC4" s="7"/>
      <c r="AD4" s="7"/>
    </row>
    <row r="5" spans="1:30" x14ac:dyDescent="0.3">
      <c r="A5" s="88"/>
      <c r="B5" s="8" t="s">
        <v>161</v>
      </c>
      <c r="C5" s="9" t="s">
        <v>168</v>
      </c>
      <c r="D5" s="9" t="s">
        <v>162</v>
      </c>
      <c r="E5" s="9" t="s">
        <v>163</v>
      </c>
      <c r="F5" s="19" t="s">
        <v>159</v>
      </c>
      <c r="G5" s="51"/>
      <c r="H5" s="8" t="s">
        <v>161</v>
      </c>
      <c r="I5" s="9" t="s">
        <v>168</v>
      </c>
      <c r="J5" s="9" t="s">
        <v>162</v>
      </c>
      <c r="K5" s="9" t="s">
        <v>163</v>
      </c>
      <c r="L5" s="19" t="s">
        <v>159</v>
      </c>
      <c r="M5" s="51"/>
      <c r="N5" s="8" t="s">
        <v>161</v>
      </c>
      <c r="O5" s="9" t="s">
        <v>168</v>
      </c>
      <c r="P5" s="9" t="s">
        <v>162</v>
      </c>
      <c r="Q5" s="9" t="s">
        <v>163</v>
      </c>
      <c r="R5" s="19" t="s">
        <v>159</v>
      </c>
      <c r="S5" s="51"/>
      <c r="T5" s="8" t="s">
        <v>161</v>
      </c>
      <c r="U5" s="9" t="s">
        <v>168</v>
      </c>
      <c r="V5" s="9" t="s">
        <v>162</v>
      </c>
      <c r="W5" s="9" t="s">
        <v>163</v>
      </c>
      <c r="X5" s="19" t="s">
        <v>159</v>
      </c>
      <c r="Y5" s="3"/>
    </row>
    <row r="6" spans="1:30" ht="15.6" x14ac:dyDescent="0.3">
      <c r="A6" s="88"/>
      <c r="B6" s="16">
        <v>1</v>
      </c>
      <c r="C6" s="17" t="s">
        <v>4</v>
      </c>
      <c r="D6" s="17">
        <v>1</v>
      </c>
      <c r="E6" s="18" t="s">
        <v>5</v>
      </c>
      <c r="F6" s="39">
        <v>1</v>
      </c>
      <c r="G6" s="106"/>
      <c r="H6" s="78">
        <v>34</v>
      </c>
      <c r="I6" s="76" t="s">
        <v>40</v>
      </c>
      <c r="J6" s="76">
        <v>16</v>
      </c>
      <c r="K6" s="77" t="s">
        <v>42</v>
      </c>
      <c r="L6" s="39"/>
      <c r="M6" s="106"/>
      <c r="N6" s="16">
        <v>67</v>
      </c>
      <c r="O6" s="17" t="s">
        <v>76</v>
      </c>
      <c r="P6" s="17">
        <v>35</v>
      </c>
      <c r="Q6" s="18" t="s">
        <v>76</v>
      </c>
      <c r="R6" s="39"/>
      <c r="S6" s="106"/>
      <c r="T6" s="78">
        <v>100</v>
      </c>
      <c r="U6" s="76" t="s">
        <v>116</v>
      </c>
      <c r="V6" s="76">
        <v>47</v>
      </c>
      <c r="W6" s="77" t="s">
        <v>115</v>
      </c>
      <c r="X6" s="39"/>
      <c r="Y6" s="103"/>
    </row>
    <row r="7" spans="1:30" ht="15.6" x14ac:dyDescent="0.3">
      <c r="A7" s="88"/>
      <c r="B7" s="10">
        <v>2</v>
      </c>
      <c r="C7" s="11" t="s">
        <v>5</v>
      </c>
      <c r="D7" s="11">
        <v>1</v>
      </c>
      <c r="E7" s="14" t="s">
        <v>5</v>
      </c>
      <c r="F7" s="39"/>
      <c r="G7" s="106"/>
      <c r="H7" s="71">
        <v>35</v>
      </c>
      <c r="I7" s="72" t="s">
        <v>41</v>
      </c>
      <c r="J7" s="72">
        <v>16</v>
      </c>
      <c r="K7" s="75" t="s">
        <v>42</v>
      </c>
      <c r="L7" s="39"/>
      <c r="M7" s="106"/>
      <c r="N7" s="71">
        <v>68</v>
      </c>
      <c r="O7" s="72" t="s">
        <v>77</v>
      </c>
      <c r="P7" s="72">
        <v>36</v>
      </c>
      <c r="Q7" s="75" t="s">
        <v>77</v>
      </c>
      <c r="R7" s="39"/>
      <c r="S7" s="106"/>
      <c r="T7" s="71">
        <v>101</v>
      </c>
      <c r="U7" s="72" t="s">
        <v>117</v>
      </c>
      <c r="V7" s="72">
        <v>47</v>
      </c>
      <c r="W7" s="75" t="s">
        <v>115</v>
      </c>
      <c r="X7" s="39"/>
      <c r="Y7" s="103"/>
    </row>
    <row r="8" spans="1:30" ht="15.6" x14ac:dyDescent="0.3">
      <c r="A8" s="88"/>
      <c r="B8" s="10">
        <v>3</v>
      </c>
      <c r="C8" s="11" t="s">
        <v>6</v>
      </c>
      <c r="D8" s="11">
        <v>1</v>
      </c>
      <c r="E8" s="14" t="s">
        <v>5</v>
      </c>
      <c r="F8" s="39"/>
      <c r="G8" s="106"/>
      <c r="H8" s="10">
        <v>36</v>
      </c>
      <c r="I8" s="11" t="s">
        <v>43</v>
      </c>
      <c r="J8" s="11">
        <v>17</v>
      </c>
      <c r="K8" s="14" t="s">
        <v>43</v>
      </c>
      <c r="L8" s="39"/>
      <c r="M8" s="106"/>
      <c r="N8" s="71">
        <v>69</v>
      </c>
      <c r="O8" s="72" t="s">
        <v>79</v>
      </c>
      <c r="P8" s="72">
        <v>37</v>
      </c>
      <c r="Q8" s="75" t="s">
        <v>78</v>
      </c>
      <c r="R8" s="39"/>
      <c r="S8" s="106"/>
      <c r="T8" s="71">
        <v>102</v>
      </c>
      <c r="U8" s="72" t="s">
        <v>118</v>
      </c>
      <c r="V8" s="72">
        <v>48</v>
      </c>
      <c r="W8" s="75" t="s">
        <v>119</v>
      </c>
      <c r="X8" s="39"/>
      <c r="Y8" s="103"/>
    </row>
    <row r="9" spans="1:30" ht="15.6" x14ac:dyDescent="0.3">
      <c r="A9" s="88"/>
      <c r="B9" s="10">
        <v>4</v>
      </c>
      <c r="C9" s="11" t="s">
        <v>7</v>
      </c>
      <c r="D9" s="11">
        <v>1</v>
      </c>
      <c r="E9" s="14" t="s">
        <v>5</v>
      </c>
      <c r="F9" s="39"/>
      <c r="G9" s="106"/>
      <c r="H9" s="10">
        <v>37</v>
      </c>
      <c r="I9" s="11" t="s">
        <v>44</v>
      </c>
      <c r="J9" s="11">
        <v>18</v>
      </c>
      <c r="K9" s="14" t="s">
        <v>47</v>
      </c>
      <c r="L9" s="39"/>
      <c r="M9" s="106"/>
      <c r="N9" s="71">
        <v>70</v>
      </c>
      <c r="O9" s="72" t="s">
        <v>82</v>
      </c>
      <c r="P9" s="72">
        <v>2</v>
      </c>
      <c r="Q9" s="75" t="s">
        <v>82</v>
      </c>
      <c r="R9" s="39"/>
      <c r="S9" s="106"/>
      <c r="T9" s="71">
        <v>103</v>
      </c>
      <c r="U9" s="72" t="s">
        <v>119</v>
      </c>
      <c r="V9" s="72">
        <v>48</v>
      </c>
      <c r="W9" s="75" t="s">
        <v>119</v>
      </c>
      <c r="X9" s="39"/>
      <c r="Y9" s="103"/>
    </row>
    <row r="10" spans="1:30" ht="15.6" x14ac:dyDescent="0.3">
      <c r="A10" s="88"/>
      <c r="B10" s="10">
        <v>5</v>
      </c>
      <c r="C10" s="11" t="s">
        <v>8</v>
      </c>
      <c r="D10" s="11">
        <v>2</v>
      </c>
      <c r="E10" s="14" t="s">
        <v>9</v>
      </c>
      <c r="F10" s="39"/>
      <c r="G10" s="106"/>
      <c r="H10" s="10">
        <v>38</v>
      </c>
      <c r="I10" s="11" t="s">
        <v>45</v>
      </c>
      <c r="J10" s="11">
        <v>18</v>
      </c>
      <c r="K10" s="14" t="s">
        <v>47</v>
      </c>
      <c r="L10" s="39"/>
      <c r="M10" s="106"/>
      <c r="N10" s="71">
        <v>71</v>
      </c>
      <c r="O10" s="72" t="s">
        <v>83</v>
      </c>
      <c r="P10" s="72">
        <v>38</v>
      </c>
      <c r="Q10" s="75" t="s">
        <v>83</v>
      </c>
      <c r="R10" s="39"/>
      <c r="S10" s="106"/>
      <c r="T10" s="71">
        <v>104</v>
      </c>
      <c r="U10" s="72" t="s">
        <v>120</v>
      </c>
      <c r="V10" s="72">
        <v>48</v>
      </c>
      <c r="W10" s="75" t="s">
        <v>119</v>
      </c>
      <c r="X10" s="39"/>
      <c r="Y10" s="103"/>
    </row>
    <row r="11" spans="1:30" ht="15.6" x14ac:dyDescent="0.3">
      <c r="A11" s="88"/>
      <c r="B11" s="10">
        <v>6</v>
      </c>
      <c r="C11" s="11" t="s">
        <v>10</v>
      </c>
      <c r="D11" s="11">
        <v>2</v>
      </c>
      <c r="E11" s="14" t="s">
        <v>9</v>
      </c>
      <c r="F11" s="39"/>
      <c r="G11" s="106"/>
      <c r="H11" s="10">
        <v>39</v>
      </c>
      <c r="I11" s="11" t="s">
        <v>46</v>
      </c>
      <c r="J11" s="11">
        <v>18</v>
      </c>
      <c r="K11" s="14" t="s">
        <v>47</v>
      </c>
      <c r="L11" s="39"/>
      <c r="M11" s="106"/>
      <c r="N11" s="71">
        <v>72</v>
      </c>
      <c r="O11" s="72" t="s">
        <v>85</v>
      </c>
      <c r="P11" s="72">
        <v>39</v>
      </c>
      <c r="Q11" s="75" t="s">
        <v>84</v>
      </c>
      <c r="R11" s="39"/>
      <c r="S11" s="106"/>
      <c r="T11" s="71">
        <v>105</v>
      </c>
      <c r="U11" s="72" t="s">
        <v>121</v>
      </c>
      <c r="V11" s="72">
        <v>49</v>
      </c>
      <c r="W11" s="75" t="s">
        <v>123</v>
      </c>
      <c r="X11" s="39"/>
      <c r="Y11" s="103"/>
    </row>
    <row r="12" spans="1:30" ht="15.6" x14ac:dyDescent="0.3">
      <c r="A12" s="88"/>
      <c r="B12" s="10">
        <v>7</v>
      </c>
      <c r="C12" s="11" t="s">
        <v>11</v>
      </c>
      <c r="D12" s="11">
        <v>2</v>
      </c>
      <c r="E12" s="14" t="s">
        <v>9</v>
      </c>
      <c r="F12" s="39"/>
      <c r="G12" s="106"/>
      <c r="H12" s="10">
        <v>40</v>
      </c>
      <c r="I12" s="11" t="s">
        <v>49</v>
      </c>
      <c r="J12" s="11">
        <v>19</v>
      </c>
      <c r="K12" s="14" t="s">
        <v>48</v>
      </c>
      <c r="L12" s="39"/>
      <c r="M12" s="106"/>
      <c r="N12" s="71">
        <v>73</v>
      </c>
      <c r="O12" s="72" t="s">
        <v>86</v>
      </c>
      <c r="P12" s="72">
        <v>39</v>
      </c>
      <c r="Q12" s="75" t="s">
        <v>84</v>
      </c>
      <c r="R12" s="39"/>
      <c r="S12" s="106"/>
      <c r="T12" s="71">
        <v>106</v>
      </c>
      <c r="U12" s="72" t="s">
        <v>124</v>
      </c>
      <c r="V12" s="72">
        <v>50</v>
      </c>
      <c r="W12" s="75" t="s">
        <v>122</v>
      </c>
      <c r="X12" s="39"/>
      <c r="Y12" s="103"/>
    </row>
    <row r="13" spans="1:30" ht="15.6" x14ac:dyDescent="0.3">
      <c r="A13" s="88"/>
      <c r="B13" s="10">
        <v>8</v>
      </c>
      <c r="C13" s="11" t="s">
        <v>12</v>
      </c>
      <c r="D13" s="11">
        <v>2</v>
      </c>
      <c r="E13" s="14" t="s">
        <v>9</v>
      </c>
      <c r="F13" s="39"/>
      <c r="G13" s="106"/>
      <c r="H13" s="10">
        <v>41</v>
      </c>
      <c r="I13" s="11" t="s">
        <v>50</v>
      </c>
      <c r="J13" s="11">
        <v>19</v>
      </c>
      <c r="K13" s="14" t="s">
        <v>48</v>
      </c>
      <c r="L13" s="39"/>
      <c r="M13" s="106"/>
      <c r="N13" s="71">
        <v>74</v>
      </c>
      <c r="O13" s="72" t="s">
        <v>87</v>
      </c>
      <c r="P13" s="72">
        <v>40</v>
      </c>
      <c r="Q13" s="75" t="s">
        <v>88</v>
      </c>
      <c r="R13" s="39"/>
      <c r="S13" s="106"/>
      <c r="T13" s="71">
        <v>107</v>
      </c>
      <c r="U13" s="72" t="s">
        <v>125</v>
      </c>
      <c r="V13" s="72">
        <v>50</v>
      </c>
      <c r="W13" s="75" t="s">
        <v>122</v>
      </c>
      <c r="X13" s="39"/>
      <c r="Y13" s="103"/>
    </row>
    <row r="14" spans="1:30" ht="15.6" x14ac:dyDescent="0.3">
      <c r="A14" s="88"/>
      <c r="B14" s="10">
        <v>9</v>
      </c>
      <c r="C14" s="11" t="s">
        <v>13</v>
      </c>
      <c r="D14" s="11">
        <v>3</v>
      </c>
      <c r="E14" s="14" t="s">
        <v>13</v>
      </c>
      <c r="F14" s="39"/>
      <c r="G14" s="106"/>
      <c r="H14" s="10">
        <v>42</v>
      </c>
      <c r="I14" s="11" t="s">
        <v>51</v>
      </c>
      <c r="J14" s="11">
        <v>20</v>
      </c>
      <c r="K14" s="14" t="s">
        <v>51</v>
      </c>
      <c r="L14" s="39">
        <v>1</v>
      </c>
      <c r="M14" s="106"/>
      <c r="N14" s="71">
        <v>75</v>
      </c>
      <c r="O14" s="72" t="s">
        <v>88</v>
      </c>
      <c r="P14" s="72">
        <v>40</v>
      </c>
      <c r="Q14" s="75" t="s">
        <v>88</v>
      </c>
      <c r="R14" s="39"/>
      <c r="S14" s="106"/>
      <c r="T14" s="71">
        <v>108</v>
      </c>
      <c r="U14" s="72" t="s">
        <v>126</v>
      </c>
      <c r="V14" s="72">
        <v>50</v>
      </c>
      <c r="W14" s="75" t="s">
        <v>122</v>
      </c>
      <c r="X14" s="39"/>
      <c r="Y14" s="103"/>
    </row>
    <row r="15" spans="1:30" ht="15.6" x14ac:dyDescent="0.3">
      <c r="A15" s="88"/>
      <c r="B15" s="10">
        <v>10</v>
      </c>
      <c r="C15" s="11" t="s">
        <v>14</v>
      </c>
      <c r="D15" s="11">
        <v>3</v>
      </c>
      <c r="E15" s="14" t="s">
        <v>13</v>
      </c>
      <c r="F15" s="39"/>
      <c r="G15" s="106"/>
      <c r="H15" s="10">
        <v>43</v>
      </c>
      <c r="I15" s="11" t="s">
        <v>52</v>
      </c>
      <c r="J15" s="11">
        <v>20</v>
      </c>
      <c r="K15" s="14" t="s">
        <v>51</v>
      </c>
      <c r="L15" s="39"/>
      <c r="M15" s="106"/>
      <c r="N15" s="71">
        <v>76</v>
      </c>
      <c r="O15" s="72" t="s">
        <v>89</v>
      </c>
      <c r="P15" s="72">
        <v>40</v>
      </c>
      <c r="Q15" s="75" t="s">
        <v>88</v>
      </c>
      <c r="R15" s="39"/>
      <c r="S15" s="106"/>
      <c r="T15" s="71">
        <v>109</v>
      </c>
      <c r="U15" s="72" t="s">
        <v>127</v>
      </c>
      <c r="V15" s="72">
        <v>51</v>
      </c>
      <c r="W15" s="75" t="s">
        <v>127</v>
      </c>
      <c r="X15" s="39"/>
      <c r="Y15" s="103"/>
    </row>
    <row r="16" spans="1:30" ht="15.6" x14ac:dyDescent="0.3">
      <c r="A16" s="88"/>
      <c r="B16" s="10">
        <v>11</v>
      </c>
      <c r="C16" s="11" t="s">
        <v>15</v>
      </c>
      <c r="D16" s="11">
        <v>4</v>
      </c>
      <c r="E16" s="14" t="s">
        <v>16</v>
      </c>
      <c r="F16" s="39"/>
      <c r="G16" s="106"/>
      <c r="H16" s="10">
        <v>44</v>
      </c>
      <c r="I16" s="11" t="s">
        <v>54</v>
      </c>
      <c r="J16" s="11">
        <v>21</v>
      </c>
      <c r="K16" s="14" t="s">
        <v>53</v>
      </c>
      <c r="L16" s="39"/>
      <c r="M16" s="106"/>
      <c r="N16" s="71">
        <v>77</v>
      </c>
      <c r="O16" s="72" t="s">
        <v>90</v>
      </c>
      <c r="P16" s="72">
        <v>41</v>
      </c>
      <c r="Q16" s="75" t="s">
        <v>90</v>
      </c>
      <c r="R16" s="39"/>
      <c r="S16" s="106"/>
      <c r="T16" s="71">
        <v>110</v>
      </c>
      <c r="U16" s="72" t="s">
        <v>129</v>
      </c>
      <c r="V16" s="72">
        <v>55</v>
      </c>
      <c r="W16" s="75" t="s">
        <v>128</v>
      </c>
      <c r="X16" s="39"/>
      <c r="Y16" s="103"/>
    </row>
    <row r="17" spans="1:25" ht="15.6" x14ac:dyDescent="0.3">
      <c r="A17" s="88"/>
      <c r="B17" s="10">
        <v>12</v>
      </c>
      <c r="C17" s="11" t="s">
        <v>16</v>
      </c>
      <c r="D17" s="11">
        <v>4</v>
      </c>
      <c r="E17" s="14" t="s">
        <v>16</v>
      </c>
      <c r="F17" s="39"/>
      <c r="G17" s="106"/>
      <c r="H17" s="10">
        <v>45</v>
      </c>
      <c r="I17" s="11" t="s">
        <v>55</v>
      </c>
      <c r="J17" s="11">
        <v>21</v>
      </c>
      <c r="K17" s="14" t="s">
        <v>53</v>
      </c>
      <c r="L17" s="39"/>
      <c r="M17" s="106"/>
      <c r="N17" s="71">
        <v>78</v>
      </c>
      <c r="O17" s="72" t="s">
        <v>94</v>
      </c>
      <c r="P17" s="72">
        <v>42</v>
      </c>
      <c r="Q17" s="75" t="s">
        <v>91</v>
      </c>
      <c r="R17" s="39"/>
      <c r="S17" s="106"/>
      <c r="T17" s="71">
        <v>111</v>
      </c>
      <c r="U17" s="72" t="s">
        <v>130</v>
      </c>
      <c r="V17" s="72">
        <v>55</v>
      </c>
      <c r="W17" s="75" t="s">
        <v>128</v>
      </c>
      <c r="X17" s="39"/>
      <c r="Y17" s="103"/>
    </row>
    <row r="18" spans="1:25" ht="15.6" x14ac:dyDescent="0.3">
      <c r="A18" s="88"/>
      <c r="B18" s="10">
        <v>13</v>
      </c>
      <c r="C18" s="11" t="s">
        <v>17</v>
      </c>
      <c r="D18" s="11">
        <v>4</v>
      </c>
      <c r="E18" s="14" t="s">
        <v>16</v>
      </c>
      <c r="F18" s="39"/>
      <c r="G18" s="106"/>
      <c r="H18" s="10">
        <v>46</v>
      </c>
      <c r="I18" s="11" t="s">
        <v>53</v>
      </c>
      <c r="J18" s="11">
        <v>21</v>
      </c>
      <c r="K18" s="14" t="s">
        <v>53</v>
      </c>
      <c r="L18" s="39"/>
      <c r="M18" s="106"/>
      <c r="N18" s="71">
        <v>79</v>
      </c>
      <c r="O18" s="72" t="s">
        <v>91</v>
      </c>
      <c r="P18" s="72">
        <v>42</v>
      </c>
      <c r="Q18" s="75" t="s">
        <v>91</v>
      </c>
      <c r="R18" s="39"/>
      <c r="S18" s="106"/>
      <c r="T18" s="71">
        <v>112</v>
      </c>
      <c r="U18" s="72" t="s">
        <v>133</v>
      </c>
      <c r="V18" s="72">
        <v>84</v>
      </c>
      <c r="W18" s="75" t="s">
        <v>132</v>
      </c>
      <c r="X18" s="39"/>
      <c r="Y18" s="103"/>
    </row>
    <row r="19" spans="1:25" ht="15.6" x14ac:dyDescent="0.3">
      <c r="A19" s="88"/>
      <c r="B19" s="10">
        <v>14</v>
      </c>
      <c r="C19" s="11" t="s">
        <v>18</v>
      </c>
      <c r="D19" s="11">
        <v>5</v>
      </c>
      <c r="E19" s="14" t="s">
        <v>18</v>
      </c>
      <c r="F19" s="39"/>
      <c r="G19" s="106"/>
      <c r="H19" s="10">
        <v>47</v>
      </c>
      <c r="I19" s="11" t="s">
        <v>57</v>
      </c>
      <c r="J19" s="11">
        <v>22</v>
      </c>
      <c r="K19" s="14" t="s">
        <v>56</v>
      </c>
      <c r="L19" s="39"/>
      <c r="M19" s="106"/>
      <c r="N19" s="71">
        <v>80</v>
      </c>
      <c r="O19" s="72" t="s">
        <v>92</v>
      </c>
      <c r="P19" s="72">
        <v>42</v>
      </c>
      <c r="Q19" s="75" t="s">
        <v>91</v>
      </c>
      <c r="R19" s="39"/>
      <c r="S19" s="106"/>
      <c r="T19" s="73">
        <v>113</v>
      </c>
      <c r="U19" s="74" t="s">
        <v>131</v>
      </c>
      <c r="V19" s="74">
        <v>85</v>
      </c>
      <c r="W19" s="79" t="s">
        <v>131</v>
      </c>
      <c r="X19" s="39"/>
      <c r="Y19" s="103"/>
    </row>
    <row r="20" spans="1:25" ht="15.6" x14ac:dyDescent="0.3">
      <c r="A20" s="88"/>
      <c r="B20" s="71">
        <v>15</v>
      </c>
      <c r="C20" s="72" t="s">
        <v>19</v>
      </c>
      <c r="D20" s="72">
        <v>6</v>
      </c>
      <c r="E20" s="75" t="s">
        <v>19</v>
      </c>
      <c r="F20" s="39"/>
      <c r="G20" s="106"/>
      <c r="H20" s="10">
        <v>48</v>
      </c>
      <c r="I20" s="11" t="s">
        <v>58</v>
      </c>
      <c r="J20" s="11">
        <v>22</v>
      </c>
      <c r="K20" s="14" t="s">
        <v>56</v>
      </c>
      <c r="L20" s="39"/>
      <c r="M20" s="106"/>
      <c r="N20" s="71">
        <v>81</v>
      </c>
      <c r="O20" s="72" t="s">
        <v>93</v>
      </c>
      <c r="P20" s="72">
        <v>42</v>
      </c>
      <c r="Q20" s="75" t="s">
        <v>91</v>
      </c>
      <c r="R20" s="39"/>
      <c r="S20" s="106"/>
      <c r="T20" s="158" t="s">
        <v>165</v>
      </c>
      <c r="U20" s="159"/>
      <c r="V20" s="159"/>
      <c r="W20" s="159"/>
      <c r="X20" s="160"/>
      <c r="Y20" s="3"/>
    </row>
    <row r="21" spans="1:25" ht="15.6" x14ac:dyDescent="0.3">
      <c r="A21" s="88"/>
      <c r="B21" s="10">
        <v>16</v>
      </c>
      <c r="C21" s="11" t="s">
        <v>20</v>
      </c>
      <c r="D21" s="11">
        <v>7</v>
      </c>
      <c r="E21" s="14" t="s">
        <v>20</v>
      </c>
      <c r="F21" s="39"/>
      <c r="G21" s="106"/>
      <c r="H21" s="10">
        <v>49</v>
      </c>
      <c r="I21" s="11" t="s">
        <v>56</v>
      </c>
      <c r="J21" s="11">
        <v>22</v>
      </c>
      <c r="K21" s="14" t="s">
        <v>56</v>
      </c>
      <c r="L21" s="39"/>
      <c r="M21" s="106"/>
      <c r="N21" s="71">
        <v>82</v>
      </c>
      <c r="O21" s="72" t="s">
        <v>96</v>
      </c>
      <c r="P21" s="72">
        <v>43</v>
      </c>
      <c r="Q21" s="75" t="s">
        <v>95</v>
      </c>
      <c r="R21" s="39"/>
      <c r="S21" s="106"/>
      <c r="T21" s="161"/>
      <c r="U21" s="162"/>
      <c r="V21" s="162"/>
      <c r="W21" s="162"/>
      <c r="X21" s="163"/>
      <c r="Y21" s="3"/>
    </row>
    <row r="22" spans="1:25" ht="15.6" x14ac:dyDescent="0.3">
      <c r="A22" s="88"/>
      <c r="B22" s="10">
        <v>17</v>
      </c>
      <c r="C22" s="11" t="s">
        <v>21</v>
      </c>
      <c r="D22" s="11">
        <v>8</v>
      </c>
      <c r="E22" s="14" t="s">
        <v>21</v>
      </c>
      <c r="F22" s="39"/>
      <c r="G22" s="106"/>
      <c r="H22" s="10">
        <v>50</v>
      </c>
      <c r="I22" s="11" t="s">
        <v>60</v>
      </c>
      <c r="J22" s="11">
        <v>23</v>
      </c>
      <c r="K22" s="14" t="s">
        <v>59</v>
      </c>
      <c r="L22" s="39"/>
      <c r="M22" s="106"/>
      <c r="N22" s="71">
        <v>83</v>
      </c>
      <c r="O22" s="72" t="s">
        <v>97</v>
      </c>
      <c r="P22" s="72">
        <v>43</v>
      </c>
      <c r="Q22" s="75" t="s">
        <v>95</v>
      </c>
      <c r="R22" s="39"/>
      <c r="S22" s="106"/>
      <c r="T22" s="164"/>
      <c r="U22" s="165"/>
      <c r="V22" s="21"/>
      <c r="W22" s="21"/>
      <c r="X22" s="22"/>
      <c r="Y22" s="3"/>
    </row>
    <row r="23" spans="1:25" ht="15.6" x14ac:dyDescent="0.3">
      <c r="A23" s="88"/>
      <c r="B23" s="10">
        <v>18</v>
      </c>
      <c r="C23" s="11" t="s">
        <v>22</v>
      </c>
      <c r="D23" s="11">
        <v>9</v>
      </c>
      <c r="E23" s="14" t="s">
        <v>23</v>
      </c>
      <c r="F23" s="39"/>
      <c r="G23" s="106"/>
      <c r="H23" s="10">
        <v>51</v>
      </c>
      <c r="I23" s="11" t="s">
        <v>59</v>
      </c>
      <c r="J23" s="11">
        <v>23</v>
      </c>
      <c r="K23" s="14" t="s">
        <v>59</v>
      </c>
      <c r="L23" s="39"/>
      <c r="M23" s="106"/>
      <c r="N23" s="71">
        <v>84</v>
      </c>
      <c r="O23" s="72" t="s">
        <v>95</v>
      </c>
      <c r="P23" s="72">
        <v>43</v>
      </c>
      <c r="Q23" s="75" t="s">
        <v>95</v>
      </c>
      <c r="R23" s="39"/>
      <c r="S23" s="106"/>
      <c r="T23" s="25"/>
      <c r="U23" s="166" t="s">
        <v>166</v>
      </c>
      <c r="V23" s="166"/>
      <c r="W23" s="166"/>
      <c r="X23" s="22"/>
      <c r="Y23" s="3"/>
    </row>
    <row r="24" spans="1:25" ht="15.6" x14ac:dyDescent="0.3">
      <c r="A24" s="88"/>
      <c r="B24" s="10">
        <v>19</v>
      </c>
      <c r="C24" s="11" t="s">
        <v>23</v>
      </c>
      <c r="D24" s="11">
        <v>9</v>
      </c>
      <c r="E24" s="14" t="s">
        <v>23</v>
      </c>
      <c r="F24" s="39"/>
      <c r="G24" s="106"/>
      <c r="H24" s="10">
        <v>52</v>
      </c>
      <c r="I24" s="11" t="s">
        <v>61</v>
      </c>
      <c r="J24" s="11">
        <v>24</v>
      </c>
      <c r="K24" s="14" t="s">
        <v>61</v>
      </c>
      <c r="L24" s="39"/>
      <c r="M24" s="106"/>
      <c r="N24" s="71">
        <v>85</v>
      </c>
      <c r="O24" s="72" t="s">
        <v>98</v>
      </c>
      <c r="P24" s="72">
        <v>44</v>
      </c>
      <c r="Q24" s="75" t="s">
        <v>98</v>
      </c>
      <c r="R24" s="39"/>
      <c r="S24" s="106"/>
      <c r="T24" s="21"/>
      <c r="U24" s="167" t="s">
        <v>157</v>
      </c>
      <c r="V24" s="168"/>
      <c r="W24" s="169"/>
      <c r="X24" s="22"/>
      <c r="Y24" s="3"/>
    </row>
    <row r="25" spans="1:25" ht="15.6" x14ac:dyDescent="0.3">
      <c r="A25" s="88"/>
      <c r="B25" s="10">
        <v>20</v>
      </c>
      <c r="C25" s="11" t="s">
        <v>24</v>
      </c>
      <c r="D25" s="11">
        <v>10</v>
      </c>
      <c r="E25" s="14" t="s">
        <v>24</v>
      </c>
      <c r="F25" s="39"/>
      <c r="G25" s="106"/>
      <c r="H25" s="10">
        <v>53</v>
      </c>
      <c r="I25" s="11" t="s">
        <v>62</v>
      </c>
      <c r="J25" s="11">
        <v>25</v>
      </c>
      <c r="K25" s="14" t="s">
        <v>62</v>
      </c>
      <c r="L25" s="39"/>
      <c r="M25" s="106"/>
      <c r="N25" s="71">
        <v>86</v>
      </c>
      <c r="O25" s="72" t="s">
        <v>99</v>
      </c>
      <c r="P25" s="72">
        <v>45</v>
      </c>
      <c r="Q25" s="75" t="s">
        <v>100</v>
      </c>
      <c r="R25" s="39"/>
      <c r="S25" s="106"/>
      <c r="T25" s="21"/>
      <c r="U25" s="21"/>
      <c r="V25" s="21"/>
      <c r="W25" s="21"/>
      <c r="X25" s="22"/>
      <c r="Y25" s="3"/>
    </row>
    <row r="26" spans="1:25" ht="15.6" x14ac:dyDescent="0.3">
      <c r="A26" s="88"/>
      <c r="B26" s="10">
        <v>21</v>
      </c>
      <c r="C26" s="11" t="s">
        <v>25</v>
      </c>
      <c r="D26" s="11">
        <v>11</v>
      </c>
      <c r="E26" s="14" t="s">
        <v>27</v>
      </c>
      <c r="F26" s="39"/>
      <c r="G26" s="106"/>
      <c r="H26" s="10">
        <v>54</v>
      </c>
      <c r="I26" s="11" t="s">
        <v>64</v>
      </c>
      <c r="J26" s="11">
        <v>26</v>
      </c>
      <c r="K26" s="14" t="s">
        <v>63</v>
      </c>
      <c r="L26" s="39"/>
      <c r="M26" s="106"/>
      <c r="N26" s="71">
        <v>87</v>
      </c>
      <c r="O26" s="72" t="s">
        <v>101</v>
      </c>
      <c r="P26" s="72">
        <v>45</v>
      </c>
      <c r="Q26" s="75" t="s">
        <v>100</v>
      </c>
      <c r="R26" s="39"/>
      <c r="S26" s="106"/>
      <c r="T26" s="21"/>
      <c r="U26" s="67">
        <v>3</v>
      </c>
      <c r="V26" s="21"/>
      <c r="W26" s="21"/>
      <c r="X26" s="22"/>
      <c r="Y26" s="3"/>
    </row>
    <row r="27" spans="1:25" ht="15.6" x14ac:dyDescent="0.3">
      <c r="A27" s="88"/>
      <c r="B27" s="10">
        <v>22</v>
      </c>
      <c r="C27" s="11" t="s">
        <v>26</v>
      </c>
      <c r="D27" s="11">
        <v>11</v>
      </c>
      <c r="E27" s="14" t="s">
        <v>27</v>
      </c>
      <c r="F27" s="39"/>
      <c r="G27" s="106"/>
      <c r="H27" s="10">
        <v>55</v>
      </c>
      <c r="I27" s="11" t="s">
        <v>65</v>
      </c>
      <c r="J27" s="11">
        <v>26</v>
      </c>
      <c r="K27" s="14" t="s">
        <v>63</v>
      </c>
      <c r="L27" s="39"/>
      <c r="M27" s="106"/>
      <c r="N27" s="71">
        <v>88</v>
      </c>
      <c r="O27" s="72" t="s">
        <v>102</v>
      </c>
      <c r="P27" s="72">
        <v>45</v>
      </c>
      <c r="Q27" s="75" t="s">
        <v>100</v>
      </c>
      <c r="R27" s="39"/>
      <c r="S27" s="106"/>
      <c r="T27" s="21"/>
      <c r="U27" s="21"/>
      <c r="V27" s="21"/>
      <c r="W27" s="21"/>
      <c r="X27" s="22"/>
      <c r="Y27" s="3"/>
    </row>
    <row r="28" spans="1:25" ht="15.6" x14ac:dyDescent="0.3">
      <c r="A28" s="88"/>
      <c r="B28" s="71">
        <v>23</v>
      </c>
      <c r="C28" s="72" t="s">
        <v>28</v>
      </c>
      <c r="D28" s="72">
        <v>12</v>
      </c>
      <c r="E28" s="75" t="s">
        <v>28</v>
      </c>
      <c r="F28" s="39"/>
      <c r="G28" s="106"/>
      <c r="H28" s="10">
        <v>56</v>
      </c>
      <c r="I28" s="11" t="s">
        <v>66</v>
      </c>
      <c r="J28" s="11">
        <v>26</v>
      </c>
      <c r="K28" s="14" t="s">
        <v>63</v>
      </c>
      <c r="L28" s="39"/>
      <c r="M28" s="106"/>
      <c r="N28" s="71">
        <v>89</v>
      </c>
      <c r="O28" s="72" t="s">
        <v>103</v>
      </c>
      <c r="P28" s="72">
        <v>45</v>
      </c>
      <c r="Q28" s="75" t="s">
        <v>100</v>
      </c>
      <c r="R28" s="39"/>
      <c r="S28" s="106"/>
      <c r="T28" s="21"/>
      <c r="U28" s="21"/>
      <c r="V28" s="21"/>
      <c r="W28" s="21"/>
      <c r="X28" s="22"/>
      <c r="Y28" s="3"/>
    </row>
    <row r="29" spans="1:25" ht="15.6" x14ac:dyDescent="0.3">
      <c r="A29" s="88"/>
      <c r="B29" s="10">
        <v>24</v>
      </c>
      <c r="C29" s="11" t="s">
        <v>29</v>
      </c>
      <c r="D29" s="11">
        <v>13</v>
      </c>
      <c r="E29" s="14" t="s">
        <v>30</v>
      </c>
      <c r="F29" s="39"/>
      <c r="G29" s="106"/>
      <c r="H29" s="10">
        <v>57</v>
      </c>
      <c r="I29" s="11" t="s">
        <v>67</v>
      </c>
      <c r="J29" s="11">
        <v>27</v>
      </c>
      <c r="K29" s="14" t="s">
        <v>67</v>
      </c>
      <c r="L29" s="39"/>
      <c r="M29" s="106"/>
      <c r="N29" s="71">
        <v>90</v>
      </c>
      <c r="O29" s="72" t="s">
        <v>104</v>
      </c>
      <c r="P29" s="72">
        <v>45</v>
      </c>
      <c r="Q29" s="75" t="s">
        <v>100</v>
      </c>
      <c r="R29" s="39"/>
      <c r="S29" s="106"/>
      <c r="T29" s="21"/>
      <c r="U29" s="21"/>
      <c r="V29" s="21"/>
      <c r="W29" s="21"/>
      <c r="X29" s="22"/>
      <c r="Y29" s="3"/>
    </row>
    <row r="30" spans="1:25" ht="15.6" x14ac:dyDescent="0.3">
      <c r="A30" s="88"/>
      <c r="B30" s="10">
        <v>25</v>
      </c>
      <c r="C30" s="11" t="s">
        <v>30</v>
      </c>
      <c r="D30" s="11">
        <v>13</v>
      </c>
      <c r="E30" s="14" t="s">
        <v>30</v>
      </c>
      <c r="F30" s="39"/>
      <c r="G30" s="106"/>
      <c r="H30" s="71">
        <v>58</v>
      </c>
      <c r="I30" s="72" t="s">
        <v>68</v>
      </c>
      <c r="J30" s="72">
        <v>28</v>
      </c>
      <c r="K30" s="75" t="s">
        <v>68</v>
      </c>
      <c r="L30" s="39"/>
      <c r="M30" s="106"/>
      <c r="N30" s="71">
        <v>91</v>
      </c>
      <c r="O30" s="72" t="s">
        <v>105</v>
      </c>
      <c r="P30" s="72">
        <v>45</v>
      </c>
      <c r="Q30" s="75" t="s">
        <v>100</v>
      </c>
      <c r="R30" s="39"/>
      <c r="S30" s="106"/>
      <c r="T30" s="21"/>
      <c r="U30" s="21"/>
      <c r="V30" s="21"/>
      <c r="W30" s="21"/>
      <c r="X30" s="22"/>
      <c r="Y30" s="3"/>
    </row>
    <row r="31" spans="1:25" ht="15.6" x14ac:dyDescent="0.3">
      <c r="A31" s="88"/>
      <c r="B31" s="10">
        <v>26</v>
      </c>
      <c r="C31" s="11" t="s">
        <v>24</v>
      </c>
      <c r="D31" s="11">
        <v>13</v>
      </c>
      <c r="E31" s="14" t="s">
        <v>30</v>
      </c>
      <c r="F31" s="39"/>
      <c r="G31" s="106"/>
      <c r="H31" s="71">
        <v>59</v>
      </c>
      <c r="I31" s="72" t="s">
        <v>69</v>
      </c>
      <c r="J31" s="72">
        <v>29</v>
      </c>
      <c r="K31" s="75" t="s">
        <v>69</v>
      </c>
      <c r="L31" s="39"/>
      <c r="M31" s="106"/>
      <c r="N31" s="71">
        <v>92</v>
      </c>
      <c r="O31" s="72" t="s">
        <v>106</v>
      </c>
      <c r="P31" s="72">
        <v>45</v>
      </c>
      <c r="Q31" s="75" t="s">
        <v>100</v>
      </c>
      <c r="R31" s="39"/>
      <c r="S31" s="106"/>
      <c r="T31" s="21"/>
      <c r="U31" s="21"/>
      <c r="V31" s="21"/>
      <c r="W31" s="21"/>
      <c r="X31" s="22"/>
      <c r="Y31" s="3"/>
    </row>
    <row r="32" spans="1:25" ht="15.6" x14ac:dyDescent="0.3">
      <c r="A32" s="88"/>
      <c r="B32" s="10">
        <v>27</v>
      </c>
      <c r="C32" s="11" t="s">
        <v>31</v>
      </c>
      <c r="D32" s="11">
        <v>13</v>
      </c>
      <c r="E32" s="14" t="s">
        <v>30</v>
      </c>
      <c r="F32" s="39"/>
      <c r="G32" s="106"/>
      <c r="H32" s="71">
        <v>60</v>
      </c>
      <c r="I32" s="72" t="s">
        <v>70</v>
      </c>
      <c r="J32" s="72">
        <v>29</v>
      </c>
      <c r="K32" s="75" t="s">
        <v>69</v>
      </c>
      <c r="L32" s="39"/>
      <c r="M32" s="106"/>
      <c r="N32" s="71">
        <v>93</v>
      </c>
      <c r="O32" s="72" t="s">
        <v>107</v>
      </c>
      <c r="P32" s="72">
        <v>45</v>
      </c>
      <c r="Q32" s="75" t="s">
        <v>100</v>
      </c>
      <c r="R32" s="39"/>
      <c r="S32" s="106"/>
      <c r="T32" s="21"/>
      <c r="U32" s="21"/>
      <c r="V32" s="21"/>
      <c r="W32" s="21"/>
      <c r="X32" s="22"/>
      <c r="Y32" s="3"/>
    </row>
    <row r="33" spans="1:25" ht="15.6" x14ac:dyDescent="0.3">
      <c r="A33" s="88"/>
      <c r="B33" s="71">
        <v>28</v>
      </c>
      <c r="C33" s="72" t="s">
        <v>32</v>
      </c>
      <c r="D33" s="72">
        <v>14</v>
      </c>
      <c r="E33" s="75" t="s">
        <v>35</v>
      </c>
      <c r="F33" s="39"/>
      <c r="G33" s="106"/>
      <c r="H33" s="10">
        <v>61</v>
      </c>
      <c r="I33" s="11" t="s">
        <v>72</v>
      </c>
      <c r="J33" s="11">
        <v>30</v>
      </c>
      <c r="K33" s="14" t="s">
        <v>71</v>
      </c>
      <c r="L33" s="39"/>
      <c r="M33" s="106"/>
      <c r="N33" s="71">
        <v>94</v>
      </c>
      <c r="O33" s="72" t="s">
        <v>109</v>
      </c>
      <c r="P33" s="72">
        <v>46</v>
      </c>
      <c r="Q33" s="75" t="s">
        <v>108</v>
      </c>
      <c r="R33" s="39"/>
      <c r="S33" s="106"/>
      <c r="T33" s="21"/>
      <c r="U33" s="21"/>
      <c r="V33" s="21"/>
      <c r="W33" s="21"/>
      <c r="X33" s="22"/>
      <c r="Y33" s="3"/>
    </row>
    <row r="34" spans="1:25" ht="15.6" x14ac:dyDescent="0.3">
      <c r="A34" s="88"/>
      <c r="B34" s="71">
        <v>29</v>
      </c>
      <c r="C34" s="72" t="s">
        <v>33</v>
      </c>
      <c r="D34" s="72">
        <v>14</v>
      </c>
      <c r="E34" s="75" t="s">
        <v>35</v>
      </c>
      <c r="F34" s="39"/>
      <c r="G34" s="106"/>
      <c r="H34" s="10">
        <v>62</v>
      </c>
      <c r="I34" s="11" t="s">
        <v>73</v>
      </c>
      <c r="J34" s="11">
        <v>31</v>
      </c>
      <c r="K34" s="14" t="s">
        <v>73</v>
      </c>
      <c r="L34" s="39"/>
      <c r="M34" s="106"/>
      <c r="N34" s="71">
        <v>95</v>
      </c>
      <c r="O34" s="72" t="s">
        <v>111</v>
      </c>
      <c r="P34" s="72">
        <v>46</v>
      </c>
      <c r="Q34" s="75" t="s">
        <v>108</v>
      </c>
      <c r="R34" s="39"/>
      <c r="S34" s="106"/>
      <c r="T34" s="21"/>
      <c r="U34" s="21"/>
      <c r="V34" s="21"/>
      <c r="W34" s="21"/>
      <c r="X34" s="22"/>
      <c r="Y34" s="3"/>
    </row>
    <row r="35" spans="1:25" ht="15.6" x14ac:dyDescent="0.3">
      <c r="A35" s="88"/>
      <c r="B35" s="71">
        <v>30</v>
      </c>
      <c r="C35" s="72" t="s">
        <v>34</v>
      </c>
      <c r="D35" s="72">
        <v>14</v>
      </c>
      <c r="E35" s="75" t="s">
        <v>35</v>
      </c>
      <c r="F35" s="39"/>
      <c r="G35" s="106"/>
      <c r="H35" s="71">
        <v>63</v>
      </c>
      <c r="I35" s="72" t="s">
        <v>74</v>
      </c>
      <c r="J35" s="72">
        <v>32</v>
      </c>
      <c r="K35" s="75" t="s">
        <v>74</v>
      </c>
      <c r="L35" s="39"/>
      <c r="M35" s="106"/>
      <c r="N35" s="71">
        <v>96</v>
      </c>
      <c r="O35" s="72" t="s">
        <v>110</v>
      </c>
      <c r="P35" s="72">
        <v>46</v>
      </c>
      <c r="Q35" s="75" t="s">
        <v>108</v>
      </c>
      <c r="R35" s="39"/>
      <c r="S35" s="106"/>
      <c r="T35" s="21"/>
      <c r="U35" s="21"/>
      <c r="V35" s="21"/>
      <c r="W35" s="21"/>
      <c r="X35" s="22"/>
      <c r="Y35" s="3"/>
    </row>
    <row r="36" spans="1:25" ht="15.6" x14ac:dyDescent="0.3">
      <c r="A36" s="88"/>
      <c r="B36" s="71">
        <v>31</v>
      </c>
      <c r="C36" s="72" t="s">
        <v>37</v>
      </c>
      <c r="D36" s="72">
        <v>15</v>
      </c>
      <c r="E36" s="75" t="s">
        <v>36</v>
      </c>
      <c r="F36" s="39"/>
      <c r="G36" s="106"/>
      <c r="H36" s="71">
        <v>64</v>
      </c>
      <c r="I36" s="72" t="s">
        <v>75</v>
      </c>
      <c r="J36" s="72">
        <v>33</v>
      </c>
      <c r="K36" s="75" t="s">
        <v>75</v>
      </c>
      <c r="L36" s="39"/>
      <c r="M36" s="106"/>
      <c r="N36" s="71">
        <v>97</v>
      </c>
      <c r="O36" s="72" t="s">
        <v>112</v>
      </c>
      <c r="P36" s="72">
        <v>46</v>
      </c>
      <c r="Q36" s="75" t="s">
        <v>108</v>
      </c>
      <c r="R36" s="39"/>
      <c r="S36" s="106"/>
      <c r="T36" s="21"/>
      <c r="U36" s="21"/>
      <c r="V36" s="21"/>
      <c r="W36" s="21"/>
      <c r="X36" s="22"/>
      <c r="Y36" s="3"/>
    </row>
    <row r="37" spans="1:25" ht="15.6" x14ac:dyDescent="0.3">
      <c r="A37" s="88"/>
      <c r="B37" s="71">
        <v>32</v>
      </c>
      <c r="C37" s="72" t="s">
        <v>38</v>
      </c>
      <c r="D37" s="72">
        <v>15</v>
      </c>
      <c r="E37" s="75" t="s">
        <v>36</v>
      </c>
      <c r="F37" s="39"/>
      <c r="G37" s="106"/>
      <c r="H37" s="71">
        <v>65</v>
      </c>
      <c r="I37" s="72" t="s">
        <v>80</v>
      </c>
      <c r="J37" s="72">
        <v>34</v>
      </c>
      <c r="K37" s="75" t="s">
        <v>81</v>
      </c>
      <c r="L37" s="39"/>
      <c r="M37" s="106"/>
      <c r="N37" s="71">
        <v>98</v>
      </c>
      <c r="O37" s="72" t="s">
        <v>113</v>
      </c>
      <c r="P37" s="72">
        <v>46</v>
      </c>
      <c r="Q37" s="75" t="s">
        <v>108</v>
      </c>
      <c r="R37" s="39"/>
      <c r="S37" s="106"/>
      <c r="T37" s="21"/>
      <c r="U37" s="21"/>
      <c r="V37" s="21"/>
      <c r="W37" s="21"/>
      <c r="X37" s="22"/>
      <c r="Y37" s="3"/>
    </row>
    <row r="38" spans="1:25" ht="15.6" x14ac:dyDescent="0.3">
      <c r="A38" s="88"/>
      <c r="B38" s="71">
        <v>33</v>
      </c>
      <c r="C38" s="72" t="s">
        <v>39</v>
      </c>
      <c r="D38" s="72">
        <v>15</v>
      </c>
      <c r="E38" s="75" t="s">
        <v>36</v>
      </c>
      <c r="F38" s="39"/>
      <c r="G38" s="106"/>
      <c r="H38" s="71">
        <v>66</v>
      </c>
      <c r="I38" s="72" t="s">
        <v>81</v>
      </c>
      <c r="J38" s="72">
        <v>34</v>
      </c>
      <c r="K38" s="75" t="s">
        <v>81</v>
      </c>
      <c r="L38" s="39"/>
      <c r="M38" s="106"/>
      <c r="N38" s="71">
        <v>99</v>
      </c>
      <c r="O38" s="72" t="s">
        <v>114</v>
      </c>
      <c r="P38" s="72">
        <v>46</v>
      </c>
      <c r="Q38" s="75" t="s">
        <v>108</v>
      </c>
      <c r="R38" s="39"/>
      <c r="S38" s="106"/>
      <c r="T38" s="21"/>
      <c r="U38" s="21"/>
      <c r="V38" s="21"/>
      <c r="W38" s="21"/>
      <c r="X38" s="22"/>
      <c r="Y38" s="3"/>
    </row>
    <row r="39" spans="1:25" x14ac:dyDescent="0.3">
      <c r="A39" s="88"/>
      <c r="B39" s="12"/>
      <c r="C39" s="13"/>
      <c r="D39" s="13"/>
      <c r="E39" s="15"/>
      <c r="F39" s="39"/>
      <c r="G39" s="106"/>
      <c r="H39" s="12"/>
      <c r="I39" s="13"/>
      <c r="J39" s="13"/>
      <c r="K39" s="15"/>
      <c r="L39" s="39"/>
      <c r="M39" s="106"/>
      <c r="N39" s="12"/>
      <c r="O39" s="13"/>
      <c r="P39" s="13"/>
      <c r="Q39" s="15"/>
      <c r="R39" s="39"/>
      <c r="S39" s="106"/>
      <c r="T39" s="23"/>
      <c r="U39" s="23"/>
      <c r="V39" s="23"/>
      <c r="W39" s="23"/>
      <c r="X39" s="24"/>
      <c r="Y39" s="3"/>
    </row>
    <row r="40" spans="1:25" x14ac:dyDescent="0.3">
      <c r="A40" s="102"/>
      <c r="B40" s="104"/>
      <c r="C40" s="104"/>
      <c r="D40" s="104"/>
      <c r="E40" s="104"/>
      <c r="F40" s="105"/>
      <c r="H40" s="4"/>
      <c r="I40" s="4"/>
      <c r="J40" s="4"/>
      <c r="K40" s="4"/>
      <c r="L40" s="105"/>
      <c r="N40" s="4"/>
      <c r="O40" s="4"/>
      <c r="P40" s="4"/>
      <c r="Q40" s="4"/>
      <c r="R40" s="105"/>
      <c r="T40" s="104"/>
      <c r="U40" s="104"/>
      <c r="V40" s="104"/>
      <c r="W40" s="104"/>
      <c r="X40" s="104"/>
      <c r="Y40" s="5"/>
    </row>
  </sheetData>
  <mergeCells count="5">
    <mergeCell ref="T20:X21"/>
    <mergeCell ref="T22:U22"/>
    <mergeCell ref="U23:W23"/>
    <mergeCell ref="U24:W24"/>
    <mergeCell ref="A2:Y3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Botão4_Clique">
                <anchor moveWithCells="1">
                  <from>
                    <xdr:col>21</xdr:col>
                    <xdr:colOff>1104900</xdr:colOff>
                    <xdr:row>27</xdr:row>
                    <xdr:rowOff>213360</xdr:rowOff>
                  </from>
                  <to>
                    <xdr:col>23</xdr:col>
                    <xdr:colOff>281940</xdr:colOff>
                    <xdr:row>28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nserir">
                <anchor moveWithCells="1">
                  <from>
                    <xdr:col>21</xdr:col>
                    <xdr:colOff>1104900</xdr:colOff>
                    <xdr:row>27</xdr:row>
                    <xdr:rowOff>213360</xdr:rowOff>
                  </from>
                  <to>
                    <xdr:col>23</xdr:col>
                    <xdr:colOff>281940</xdr:colOff>
                    <xdr:row>28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Limpar">
                <anchor moveWithCells="1">
                  <from>
                    <xdr:col>22</xdr:col>
                    <xdr:colOff>0</xdr:colOff>
                    <xdr:row>34</xdr:row>
                    <xdr:rowOff>0</xdr:rowOff>
                  </from>
                  <to>
                    <xdr:col>23</xdr:col>
                    <xdr:colOff>251460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Option Button 7">
              <controlPr defaultSize="0" autoFill="0" autoLine="0" autoPict="0" altText="Espécie 1">
                <anchor moveWithCells="1">
                  <from>
                    <xdr:col>20</xdr:col>
                    <xdr:colOff>7620</xdr:colOff>
                    <xdr:row>24</xdr:row>
                    <xdr:rowOff>137160</xdr:rowOff>
                  </from>
                  <to>
                    <xdr:col>22</xdr:col>
                    <xdr:colOff>7620</xdr:colOff>
                    <xdr:row>26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Option Button 9">
              <controlPr defaultSize="0" autoFill="0" autoLine="0" autoPict="0" altText="Espécie 1">
                <anchor moveWithCells="1">
                  <from>
                    <xdr:col>20</xdr:col>
                    <xdr:colOff>7620</xdr:colOff>
                    <xdr:row>26</xdr:row>
                    <xdr:rowOff>38100</xdr:rowOff>
                  </from>
                  <to>
                    <xdr:col>22</xdr:col>
                    <xdr:colOff>7620</xdr:colOff>
                    <xdr:row>27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9" name="Option Button 10">
              <controlPr defaultSize="0" autoFill="0" autoLine="0" autoPict="0" altText="Espécie 1">
                <anchor moveWithCells="1">
                  <from>
                    <xdr:col>20</xdr:col>
                    <xdr:colOff>7620</xdr:colOff>
                    <xdr:row>27</xdr:row>
                    <xdr:rowOff>129540</xdr:rowOff>
                  </from>
                  <to>
                    <xdr:col>22</xdr:col>
                    <xdr:colOff>7620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51169-CBBF-482F-B2CD-14260B7B480E}">
  <sheetPr codeName="Planilha4">
    <tabColor rgb="FFFFC000"/>
  </sheetPr>
  <dimension ref="B1:AC304"/>
  <sheetViews>
    <sheetView topLeftCell="B2" zoomScaleNormal="100" workbookViewId="0">
      <selection activeCell="K7" sqref="K7"/>
    </sheetView>
  </sheetViews>
  <sheetFormatPr defaultColWidth="0" defaultRowHeight="14.4" zeroHeight="1" x14ac:dyDescent="0.3"/>
  <cols>
    <col min="1" max="1" width="9.109375" style="39" hidden="1" customWidth="1"/>
    <col min="2" max="7" width="5.44140625" style="116" bestFit="1" customWidth="1"/>
    <col min="8" max="8" width="3.77734375" style="115" customWidth="1"/>
    <col min="9" max="12" width="5.44140625" style="115" bestFit="1" customWidth="1"/>
    <col min="13" max="13" width="7.44140625" style="115" bestFit="1" customWidth="1"/>
    <col min="14" max="14" width="5.44140625" style="115" bestFit="1" customWidth="1"/>
    <col min="15" max="15" width="3.77734375" style="115" customWidth="1"/>
    <col min="16" max="16" width="5.44140625" style="115" bestFit="1" customWidth="1"/>
    <col min="17" max="17" width="7.44140625" style="115" bestFit="1" customWidth="1"/>
    <col min="18" max="18" width="5.44140625" style="115" bestFit="1" customWidth="1"/>
    <col min="19" max="19" width="3.77734375" style="115" customWidth="1"/>
    <col min="20" max="22" width="5.44140625" style="115" bestFit="1" customWidth="1"/>
    <col min="23" max="28" width="9.109375" style="39" hidden="1" customWidth="1"/>
    <col min="29" max="29" width="9.88671875" style="39" hidden="1" customWidth="1"/>
    <col min="30" max="16384" width="9.109375" style="39" hidden="1"/>
  </cols>
  <sheetData>
    <row r="1" spans="2:22" hidden="1" x14ac:dyDescent="0.3">
      <c r="B1" s="115"/>
      <c r="C1" s="115"/>
      <c r="D1" s="115"/>
      <c r="E1" s="115"/>
      <c r="F1" s="115"/>
      <c r="G1" s="115"/>
    </row>
    <row r="2" spans="2:22" x14ac:dyDescent="0.3">
      <c r="B2" s="171" t="s">
        <v>171</v>
      </c>
      <c r="C2" s="171"/>
      <c r="D2" s="171"/>
      <c r="E2" s="171"/>
      <c r="F2" s="171"/>
      <c r="G2" s="171"/>
      <c r="H2" s="117"/>
      <c r="I2" s="171" t="s">
        <v>173</v>
      </c>
      <c r="J2" s="171"/>
      <c r="K2" s="171"/>
      <c r="L2" s="171"/>
      <c r="M2" s="171"/>
      <c r="N2" s="171"/>
      <c r="O2" s="117"/>
      <c r="P2" s="171" t="s">
        <v>174</v>
      </c>
      <c r="Q2" s="171"/>
      <c r="R2" s="171"/>
      <c r="S2" s="118"/>
      <c r="T2" s="171" t="s">
        <v>172</v>
      </c>
      <c r="U2" s="171"/>
      <c r="V2" s="171"/>
    </row>
    <row r="3" spans="2:22" x14ac:dyDescent="0.3">
      <c r="B3" s="172" t="s">
        <v>144</v>
      </c>
      <c r="C3" s="172"/>
      <c r="D3" s="172"/>
      <c r="E3" s="172" t="s">
        <v>145</v>
      </c>
      <c r="F3" s="172"/>
      <c r="G3" s="172"/>
      <c r="H3" s="119"/>
      <c r="I3" s="172" t="s">
        <v>144</v>
      </c>
      <c r="J3" s="172"/>
      <c r="K3" s="172"/>
      <c r="L3" s="172" t="s">
        <v>145</v>
      </c>
      <c r="M3" s="172"/>
      <c r="N3" s="172"/>
      <c r="O3" s="119"/>
      <c r="P3" s="172" t="s">
        <v>149</v>
      </c>
      <c r="Q3" s="172"/>
      <c r="R3" s="172"/>
      <c r="S3" s="120"/>
      <c r="T3" s="172" t="s">
        <v>150</v>
      </c>
      <c r="U3" s="172"/>
      <c r="V3" s="172"/>
    </row>
    <row r="4" spans="2:22" x14ac:dyDescent="0.3">
      <c r="B4" s="121">
        <v>1</v>
      </c>
      <c r="C4" s="121">
        <v>2</v>
      </c>
      <c r="D4" s="121">
        <v>3</v>
      </c>
      <c r="E4" s="121">
        <v>1</v>
      </c>
      <c r="F4" s="121">
        <v>2</v>
      </c>
      <c r="G4" s="121">
        <v>3</v>
      </c>
      <c r="H4" s="121"/>
      <c r="I4" s="121">
        <v>1</v>
      </c>
      <c r="J4" s="121">
        <v>2</v>
      </c>
      <c r="K4" s="121">
        <v>3</v>
      </c>
      <c r="L4" s="121">
        <v>1</v>
      </c>
      <c r="M4" s="121">
        <v>2</v>
      </c>
      <c r="N4" s="121">
        <v>3</v>
      </c>
      <c r="O4" s="121"/>
      <c r="P4" s="121">
        <v>1</v>
      </c>
      <c r="Q4" s="121">
        <v>2</v>
      </c>
      <c r="R4" s="121">
        <v>3</v>
      </c>
      <c r="S4" s="122"/>
      <c r="T4" s="121">
        <v>1</v>
      </c>
      <c r="U4" s="121">
        <v>2</v>
      </c>
      <c r="V4" s="121">
        <v>3</v>
      </c>
    </row>
    <row r="5" spans="2:22" x14ac:dyDescent="0.3">
      <c r="B5" s="123">
        <v>0.71031249251775019</v>
      </c>
      <c r="C5" s="123">
        <v>1E-4</v>
      </c>
      <c r="D5" s="123">
        <v>0.28958750748224982</v>
      </c>
      <c r="E5" s="123">
        <v>0.71031248289580451</v>
      </c>
      <c r="F5" s="123">
        <v>1.0000002011352648E-4</v>
      </c>
      <c r="G5" s="123">
        <v>0.28958751708408198</v>
      </c>
      <c r="H5" s="121"/>
      <c r="I5" s="121">
        <v>1.1122866914992222</v>
      </c>
      <c r="J5" s="121">
        <v>7.6750384896902935</v>
      </c>
      <c r="K5" s="121">
        <v>1.1689822259943667</v>
      </c>
      <c r="L5" s="121">
        <v>1.1122867065663404</v>
      </c>
      <c r="M5" s="121">
        <v>7.6750369459697056</v>
      </c>
      <c r="N5" s="121">
        <v>1.1689821872345081</v>
      </c>
      <c r="O5" s="121"/>
      <c r="P5" s="121">
        <f>B5/E5</f>
        <v>1.0000000135460743</v>
      </c>
      <c r="Q5" s="121">
        <f>C5/F5</f>
        <v>0.99999979886477575</v>
      </c>
      <c r="R5" s="121">
        <f>D5/G5</f>
        <v>0.99999996684307302</v>
      </c>
      <c r="S5" s="121"/>
      <c r="T5" s="121">
        <f>(B5*0.5)+(E5*0.5)</f>
        <v>0.71031248770677735</v>
      </c>
      <c r="U5" s="121">
        <f>(C5*0.5)+(F5*0.5)</f>
        <v>1.0000001005676325E-4</v>
      </c>
      <c r="V5" s="121">
        <f>(D5*0.5)+(G5*0.5)</f>
        <v>0.28958751228316593</v>
      </c>
    </row>
    <row r="6" spans="2:22" x14ac:dyDescent="0.3">
      <c r="B6" s="123">
        <v>0.70401309511684407</v>
      </c>
      <c r="C6" s="123">
        <v>1.01E-2</v>
      </c>
      <c r="D6" s="123">
        <v>0.28588690488315593</v>
      </c>
      <c r="E6" s="123">
        <v>0.70401311694473634</v>
      </c>
      <c r="F6" s="123">
        <v>1.0099997230429793E-2</v>
      </c>
      <c r="G6" s="123">
        <v>0.28588688582483385</v>
      </c>
      <c r="H6" s="121"/>
      <c r="I6" s="121">
        <v>1.1356622404579866</v>
      </c>
      <c r="J6" s="121">
        <v>7.6146229100565632</v>
      </c>
      <c r="K6" s="121">
        <v>1.110939169544225</v>
      </c>
      <c r="L6" s="121">
        <v>1.1356622052468344</v>
      </c>
      <c r="M6" s="121">
        <v>7.6146249980999814</v>
      </c>
      <c r="N6" s="121">
        <v>1.1109392436037135</v>
      </c>
      <c r="O6" s="121"/>
      <c r="P6" s="121">
        <f t="shared" ref="P6:P69" si="0">B6/E6</f>
        <v>0.99999996899504884</v>
      </c>
      <c r="Q6" s="121">
        <f t="shared" ref="Q6:Q69" si="1">C6/F6</f>
        <v>1.0000002742149472</v>
      </c>
      <c r="R6" s="121">
        <f t="shared" ref="R6:R69" si="2">D6/G6</f>
        <v>1.0000000666638555</v>
      </c>
      <c r="S6" s="121"/>
      <c r="T6" s="121">
        <f t="shared" ref="T6:T69" si="3">(B6*0.5)+(E6*0.5)</f>
        <v>0.70401310603079015</v>
      </c>
      <c r="U6" s="121">
        <f t="shared" ref="U6:U69" si="4">(C6*0.5)+(F6*0.5)</f>
        <v>1.0099998615214895E-2</v>
      </c>
      <c r="V6" s="121">
        <f t="shared" ref="V6:V69" si="5">(D6*0.5)+(G6*0.5)</f>
        <v>0.28588689535399492</v>
      </c>
    </row>
    <row r="7" spans="2:22" x14ac:dyDescent="0.3">
      <c r="B7" s="123">
        <v>0.69887234001089638</v>
      </c>
      <c r="C7" s="123">
        <v>2.01E-2</v>
      </c>
      <c r="D7" s="123">
        <v>0.28102765998910362</v>
      </c>
      <c r="E7" s="123">
        <v>0.69887237632157417</v>
      </c>
      <c r="F7" s="123">
        <v>2.009999262352008E-2</v>
      </c>
      <c r="G7" s="123">
        <v>0.28102763105490575</v>
      </c>
      <c r="H7" s="121"/>
      <c r="I7" s="121">
        <v>1.1570449837562662</v>
      </c>
      <c r="J7" s="121">
        <v>7.5130667135941476</v>
      </c>
      <c r="K7" s="121">
        <v>1.0616238410089716</v>
      </c>
      <c r="L7" s="121">
        <v>1.1570449236407301</v>
      </c>
      <c r="M7" s="121">
        <v>7.5130694708083814</v>
      </c>
      <c r="N7" s="121">
        <v>1.0616239503122249</v>
      </c>
      <c r="O7" s="121"/>
      <c r="P7" s="121">
        <f t="shared" si="0"/>
        <v>0.99999994804390757</v>
      </c>
      <c r="Q7" s="121">
        <f t="shared" si="1"/>
        <v>1.0000003669891855</v>
      </c>
      <c r="R7" s="121">
        <f t="shared" si="2"/>
        <v>1.0000001029585517</v>
      </c>
      <c r="S7" s="121"/>
      <c r="T7" s="121">
        <f t="shared" si="3"/>
        <v>0.69887235816623527</v>
      </c>
      <c r="U7" s="121">
        <f t="shared" si="4"/>
        <v>2.009999631176004E-2</v>
      </c>
      <c r="V7" s="121">
        <f t="shared" si="5"/>
        <v>0.28102764552200465</v>
      </c>
    </row>
    <row r="8" spans="2:22" x14ac:dyDescent="0.3">
      <c r="B8" s="123">
        <v>0.69539953456630144</v>
      </c>
      <c r="C8" s="123">
        <v>3.0100000000000002E-2</v>
      </c>
      <c r="D8" s="123">
        <v>0.27450046543369855</v>
      </c>
      <c r="E8" s="123">
        <v>0.69539958200341456</v>
      </c>
      <c r="F8" s="123">
        <v>3.0099987361139145E-2</v>
      </c>
      <c r="G8" s="123">
        <v>0.27450043063544627</v>
      </c>
      <c r="H8" s="121"/>
      <c r="I8" s="121">
        <v>1.17642269670412</v>
      </c>
      <c r="J8" s="121">
        <v>7.4114553936258041</v>
      </c>
      <c r="K8" s="121">
        <v>1.0195682680962002</v>
      </c>
      <c r="L8" s="121">
        <v>1.176422616453717</v>
      </c>
      <c r="M8" s="121">
        <v>7.4114585056654319</v>
      </c>
      <c r="N8" s="121">
        <v>1.0195683973462484</v>
      </c>
      <c r="O8" s="121"/>
      <c r="P8" s="121">
        <f t="shared" si="0"/>
        <v>0.99999993178438074</v>
      </c>
      <c r="Q8" s="121">
        <f t="shared" si="1"/>
        <v>1.0000004198958858</v>
      </c>
      <c r="R8" s="121">
        <f t="shared" si="2"/>
        <v>1.0000001267693905</v>
      </c>
      <c r="S8" s="121"/>
      <c r="T8" s="121">
        <f t="shared" si="3"/>
        <v>0.695399558284858</v>
      </c>
      <c r="U8" s="121">
        <f t="shared" si="4"/>
        <v>3.0099993680569571E-2</v>
      </c>
      <c r="V8" s="121">
        <f t="shared" si="5"/>
        <v>0.27450044803457241</v>
      </c>
    </row>
    <row r="9" spans="2:22" x14ac:dyDescent="0.3">
      <c r="B9" s="123">
        <v>0.69372364604412284</v>
      </c>
      <c r="C9" s="123">
        <v>4.0100000000000004E-2</v>
      </c>
      <c r="D9" s="123">
        <v>0.26617635395587713</v>
      </c>
      <c r="E9" s="123">
        <v>0.69372369635113817</v>
      </c>
      <c r="F9" s="123">
        <v>4.0099983684968088E-2</v>
      </c>
      <c r="G9" s="123">
        <v>0.26617631996389374</v>
      </c>
      <c r="H9" s="121"/>
      <c r="I9" s="121">
        <v>1.1939019227603429</v>
      </c>
      <c r="J9" s="121">
        <v>7.321441644708691</v>
      </c>
      <c r="K9" s="121">
        <v>0.98324688906454916</v>
      </c>
      <c r="L9" s="121">
        <v>1.19390183618172</v>
      </c>
      <c r="M9" s="121">
        <v>7.3214446235017761</v>
      </c>
      <c r="N9" s="121">
        <v>0.98324701462985842</v>
      </c>
      <c r="O9" s="121"/>
      <c r="P9" s="121">
        <f t="shared" si="0"/>
        <v>0.99999992748263378</v>
      </c>
      <c r="Q9" s="121">
        <f t="shared" si="1"/>
        <v>1.0000004068588169</v>
      </c>
      <c r="R9" s="121">
        <f t="shared" si="2"/>
        <v>1.0000001277047612</v>
      </c>
      <c r="S9" s="121"/>
      <c r="T9" s="121">
        <f t="shared" si="3"/>
        <v>0.69372367119763045</v>
      </c>
      <c r="U9" s="121">
        <f t="shared" si="4"/>
        <v>4.0099991842484042E-2</v>
      </c>
      <c r="V9" s="121">
        <f t="shared" si="5"/>
        <v>0.26617633695988541</v>
      </c>
    </row>
    <row r="10" spans="2:22" x14ac:dyDescent="0.3">
      <c r="B10" s="123">
        <v>0.69372866440007086</v>
      </c>
      <c r="C10" s="123">
        <v>5.0100000000000006E-2</v>
      </c>
      <c r="D10" s="123">
        <v>0.25617133559992911</v>
      </c>
      <c r="E10" s="123">
        <v>0.69372872544987918</v>
      </c>
      <c r="F10" s="123">
        <v>5.0099976830975598E-2</v>
      </c>
      <c r="G10" s="123">
        <v>0.25617129771914521</v>
      </c>
      <c r="H10" s="121"/>
      <c r="I10" s="121">
        <v>1.2096863081451801</v>
      </c>
      <c r="J10" s="121">
        <v>7.2416267599900062</v>
      </c>
      <c r="K10" s="121">
        <v>0.95136302894442459</v>
      </c>
      <c r="L10" s="121">
        <v>1.2096862016898549</v>
      </c>
      <c r="M10" s="121">
        <v>7.2416301089222355</v>
      </c>
      <c r="N10" s="121">
        <v>0.95136316962520151</v>
      </c>
      <c r="O10" s="121"/>
      <c r="P10" s="121">
        <f t="shared" si="0"/>
        <v>0.99999991199757765</v>
      </c>
      <c r="Q10" s="121">
        <f t="shared" si="1"/>
        <v>1.0000004624557908</v>
      </c>
      <c r="R10" s="121">
        <f t="shared" si="2"/>
        <v>1.0000001478728657</v>
      </c>
      <c r="S10" s="121"/>
      <c r="T10" s="121">
        <f t="shared" si="3"/>
        <v>0.69372869492497502</v>
      </c>
      <c r="U10" s="121">
        <f t="shared" si="4"/>
        <v>5.0099988415487802E-2</v>
      </c>
      <c r="V10" s="121">
        <f t="shared" si="5"/>
        <v>0.25617131665953718</v>
      </c>
    </row>
    <row r="11" spans="2:22" x14ac:dyDescent="0.3">
      <c r="B11" s="123">
        <v>0.69521096268619897</v>
      </c>
      <c r="C11" s="123">
        <v>6.0100000000000008E-2</v>
      </c>
      <c r="D11" s="123">
        <v>0.24468903731380101</v>
      </c>
      <c r="E11" s="123">
        <v>0.6952110288809692</v>
      </c>
      <c r="F11" s="123">
        <v>6.0099971332802371E-2</v>
      </c>
      <c r="G11" s="123">
        <v>0.24468899978622843</v>
      </c>
      <c r="H11" s="121"/>
      <c r="I11" s="121">
        <v>1.2240021338140936</v>
      </c>
      <c r="J11" s="121">
        <v>7.1676727453187183</v>
      </c>
      <c r="K11" s="121">
        <v>0.92293274369517275</v>
      </c>
      <c r="L11" s="121">
        <v>1.2240020172702866</v>
      </c>
      <c r="M11" s="121">
        <v>7.1676761642403344</v>
      </c>
      <c r="N11" s="121">
        <v>0.92293288524393713</v>
      </c>
      <c r="O11" s="121"/>
      <c r="P11" s="121">
        <f t="shared" si="0"/>
        <v>0.99999990478463741</v>
      </c>
      <c r="Q11" s="121">
        <f t="shared" si="1"/>
        <v>1.0000004769918687</v>
      </c>
      <c r="R11" s="121">
        <f t="shared" si="2"/>
        <v>1.0000001533684497</v>
      </c>
      <c r="S11" s="121"/>
      <c r="T11" s="121">
        <f t="shared" si="3"/>
        <v>0.69521099578358414</v>
      </c>
      <c r="U11" s="121">
        <f t="shared" si="4"/>
        <v>6.0099985666401193E-2</v>
      </c>
      <c r="V11" s="121">
        <f t="shared" si="5"/>
        <v>0.24468901855001474</v>
      </c>
    </row>
    <row r="12" spans="2:22" x14ac:dyDescent="0.3">
      <c r="B12" s="123">
        <v>0.69796640308158275</v>
      </c>
      <c r="C12" s="123">
        <v>7.010000000000001E-2</v>
      </c>
      <c r="D12" s="123">
        <v>0.23193359691841725</v>
      </c>
      <c r="E12" s="123">
        <v>0.69796649291311919</v>
      </c>
      <c r="F12" s="123">
        <v>7.0099956405206124E-2</v>
      </c>
      <c r="G12" s="123">
        <v>0.23193355068167471</v>
      </c>
      <c r="H12" s="121"/>
      <c r="I12" s="121">
        <v>1.2370515892265157</v>
      </c>
      <c r="J12" s="121">
        <v>7.0960536689993132</v>
      </c>
      <c r="K12" s="121">
        <v>0.89724300005815505</v>
      </c>
      <c r="L12" s="121">
        <v>1.237051430012218</v>
      </c>
      <c r="M12" s="121">
        <v>7.0960580819977386</v>
      </c>
      <c r="N12" s="121">
        <v>0.89724317892660066</v>
      </c>
      <c r="O12" s="121"/>
      <c r="P12" s="121">
        <f t="shared" si="0"/>
        <v>0.9999998712953454</v>
      </c>
      <c r="Q12" s="121">
        <f t="shared" si="1"/>
        <v>1.0000006218947362</v>
      </c>
      <c r="R12" s="121">
        <f t="shared" si="2"/>
        <v>1.0000001993534027</v>
      </c>
      <c r="S12" s="121"/>
      <c r="T12" s="121">
        <f t="shared" si="3"/>
        <v>0.69796644799735097</v>
      </c>
      <c r="U12" s="121">
        <f t="shared" si="4"/>
        <v>7.0099978202603067E-2</v>
      </c>
      <c r="V12" s="121">
        <f t="shared" si="5"/>
        <v>0.23193357380004598</v>
      </c>
    </row>
    <row r="13" spans="2:22" x14ac:dyDescent="0.3">
      <c r="B13" s="123">
        <v>0.70182010003651241</v>
      </c>
      <c r="C13" s="123">
        <v>8.0100000000000005E-2</v>
      </c>
      <c r="D13" s="123">
        <v>0.21807989996348759</v>
      </c>
      <c r="E13" s="123">
        <v>0.70182023327860832</v>
      </c>
      <c r="F13" s="123">
        <v>8.0099928564164438E-2</v>
      </c>
      <c r="G13" s="123">
        <v>0.21807983815722726</v>
      </c>
      <c r="H13" s="121"/>
      <c r="I13" s="121">
        <v>1.2489979445423163</v>
      </c>
      <c r="J13" s="121">
        <v>7.0247046740378432</v>
      </c>
      <c r="K13" s="121">
        <v>0.87377991367197083</v>
      </c>
      <c r="L13" s="121">
        <v>1.2489977074173433</v>
      </c>
      <c r="M13" s="121">
        <v>7.0247109389079494</v>
      </c>
      <c r="N13" s="121">
        <v>0.87378016131095138</v>
      </c>
      <c r="O13" s="121"/>
      <c r="P13" s="121">
        <f t="shared" si="0"/>
        <v>0.99999981014782757</v>
      </c>
      <c r="Q13" s="121">
        <f t="shared" si="1"/>
        <v>1.0000008918339485</v>
      </c>
      <c r="R13" s="121">
        <f t="shared" si="2"/>
        <v>1.0000002834111619</v>
      </c>
      <c r="S13" s="121"/>
      <c r="T13" s="121">
        <f t="shared" si="3"/>
        <v>0.70182016665756031</v>
      </c>
      <c r="U13" s="121">
        <f t="shared" si="4"/>
        <v>8.0099964282082214E-2</v>
      </c>
      <c r="V13" s="121">
        <f t="shared" si="5"/>
        <v>0.21807986906035742</v>
      </c>
    </row>
    <row r="14" spans="2:22" x14ac:dyDescent="0.3">
      <c r="B14" s="123">
        <v>0.70662935651596204</v>
      </c>
      <c r="C14" s="123">
        <v>9.01E-2</v>
      </c>
      <c r="D14" s="123">
        <v>0.20327064348403795</v>
      </c>
      <c r="E14" s="123">
        <v>0.70662956850638825</v>
      </c>
      <c r="F14" s="123">
        <v>9.0099875896123421E-2</v>
      </c>
      <c r="G14" s="123">
        <v>0.20327055559748833</v>
      </c>
      <c r="H14" s="121"/>
      <c r="I14" s="121">
        <v>1.2599673671791227</v>
      </c>
      <c r="J14" s="121">
        <v>6.9526985793750162</v>
      </c>
      <c r="K14" s="121">
        <v>0.85216766341623018</v>
      </c>
      <c r="L14" s="121">
        <v>1.2599669891861385</v>
      </c>
      <c r="M14" s="121">
        <v>6.9527081560457704</v>
      </c>
      <c r="N14" s="121">
        <v>0.85216803186150503</v>
      </c>
      <c r="O14" s="121"/>
      <c r="P14" s="121">
        <f t="shared" si="0"/>
        <v>0.99999969999779847</v>
      </c>
      <c r="Q14" s="121">
        <f t="shared" si="1"/>
        <v>1.0000013774034131</v>
      </c>
      <c r="R14" s="121">
        <f t="shared" si="2"/>
        <v>1.0000004323624214</v>
      </c>
      <c r="S14" s="121"/>
      <c r="T14" s="121">
        <f t="shared" si="3"/>
        <v>0.70662946251117509</v>
      </c>
      <c r="U14" s="121">
        <f t="shared" si="4"/>
        <v>9.0099937948061704E-2</v>
      </c>
      <c r="V14" s="121">
        <f t="shared" si="5"/>
        <v>0.20327059954076315</v>
      </c>
    </row>
    <row r="15" spans="2:22" x14ac:dyDescent="0.3">
      <c r="B15" s="123">
        <v>0.71228306339902581</v>
      </c>
      <c r="C15" s="123">
        <v>0.10009999999999999</v>
      </c>
      <c r="D15" s="123">
        <v>0.1876169366009742</v>
      </c>
      <c r="E15" s="123">
        <v>0.71228383203721757</v>
      </c>
      <c r="F15" s="123">
        <v>0.10009951348487592</v>
      </c>
      <c r="G15" s="123">
        <v>0.18761665447790651</v>
      </c>
      <c r="H15" s="121"/>
      <c r="I15" s="121">
        <v>1.2700520440255409</v>
      </c>
      <c r="J15" s="121">
        <v>6.8799437044195857</v>
      </c>
      <c r="K15" s="121">
        <v>0.83212667000360274</v>
      </c>
      <c r="L15" s="121">
        <v>1.2700506734897201</v>
      </c>
      <c r="M15" s="121">
        <v>6.8799771431102297</v>
      </c>
      <c r="N15" s="121">
        <v>0.83212792128979296</v>
      </c>
      <c r="O15" s="121"/>
      <c r="P15" s="121">
        <f t="shared" si="0"/>
        <v>0.99999892088215792</v>
      </c>
      <c r="Q15" s="121">
        <f t="shared" si="1"/>
        <v>1.0000048603145724</v>
      </c>
      <c r="R15" s="121">
        <f t="shared" si="2"/>
        <v>1.0000015037208103</v>
      </c>
      <c r="S15" s="121"/>
      <c r="T15" s="121">
        <f t="shared" si="3"/>
        <v>0.71228344771812169</v>
      </c>
      <c r="U15" s="121">
        <f t="shared" si="4"/>
        <v>0.10009975674243796</v>
      </c>
      <c r="V15" s="121">
        <f t="shared" si="5"/>
        <v>0.18761679553944036</v>
      </c>
    </row>
    <row r="16" spans="2:22" x14ac:dyDescent="0.3">
      <c r="B16" s="123">
        <v>0.70592211322764153</v>
      </c>
      <c r="C16" s="123">
        <v>0.11009999999999999</v>
      </c>
      <c r="D16" s="123">
        <v>0.18397788677235849</v>
      </c>
      <c r="E16" s="123">
        <v>0.75585302013375655</v>
      </c>
      <c r="F16" s="123">
        <v>7.8823666081280608E-2</v>
      </c>
      <c r="G16" s="123">
        <v>0.16532331378496284</v>
      </c>
      <c r="H16" s="121"/>
      <c r="I16" s="121">
        <v>1.2900453320389851</v>
      </c>
      <c r="J16" s="121">
        <v>6.4844575031945606</v>
      </c>
      <c r="K16" s="121">
        <v>0.81066646078250482</v>
      </c>
      <c r="L16" s="121">
        <v>1.2048262065437823</v>
      </c>
      <c r="M16" s="121">
        <v>9.0574164663380259</v>
      </c>
      <c r="N16" s="121">
        <v>0.90213956469554968</v>
      </c>
      <c r="O16" s="121"/>
      <c r="P16" s="121">
        <f t="shared" si="0"/>
        <v>0.93394098379433721</v>
      </c>
      <c r="Q16" s="121">
        <f t="shared" si="1"/>
        <v>1.39678862293043</v>
      </c>
      <c r="R16" s="121">
        <f t="shared" si="2"/>
        <v>1.112836916707705</v>
      </c>
      <c r="S16" s="121"/>
      <c r="T16" s="121">
        <f t="shared" si="3"/>
        <v>0.7308875666806991</v>
      </c>
      <c r="U16" s="121">
        <f t="shared" si="4"/>
        <v>9.4461833040640292E-2</v>
      </c>
      <c r="V16" s="121">
        <f t="shared" si="5"/>
        <v>0.17465060027866067</v>
      </c>
    </row>
    <row r="17" spans="2:22" x14ac:dyDescent="0.3">
      <c r="B17" s="123">
        <v>0.69161638741255427</v>
      </c>
      <c r="C17" s="123">
        <v>0.12009999999999998</v>
      </c>
      <c r="D17" s="123">
        <v>0.18828361258744575</v>
      </c>
      <c r="E17" s="123">
        <v>0.76594613797028321</v>
      </c>
      <c r="F17" s="123">
        <v>7.3204460091622819E-2</v>
      </c>
      <c r="G17" s="123">
        <v>0.16084940193809397</v>
      </c>
      <c r="H17" s="121"/>
      <c r="I17" s="121">
        <v>1.3171160267996616</v>
      </c>
      <c r="J17" s="121">
        <v>5.9550195557548058</v>
      </c>
      <c r="K17" s="121">
        <v>0.79039361892633297</v>
      </c>
      <c r="L17" s="121">
        <v>1.1892990683030262</v>
      </c>
      <c r="M17" s="121">
        <v>9.7698671331092299</v>
      </c>
      <c r="N17" s="121">
        <v>0.92520186052535291</v>
      </c>
      <c r="O17" s="121"/>
      <c r="P17" s="121">
        <f t="shared" si="0"/>
        <v>0.90295694844196372</v>
      </c>
      <c r="Q17" s="121">
        <f t="shared" si="1"/>
        <v>1.6406104197706346</v>
      </c>
      <c r="R17" s="121">
        <f t="shared" si="2"/>
        <v>1.1705583627840306</v>
      </c>
      <c r="S17" s="121"/>
      <c r="T17" s="121">
        <f t="shared" si="3"/>
        <v>0.72878126269141874</v>
      </c>
      <c r="U17" s="121">
        <f t="shared" si="4"/>
        <v>9.6652230045811402E-2</v>
      </c>
      <c r="V17" s="121">
        <f t="shared" si="5"/>
        <v>0.17456650726276984</v>
      </c>
    </row>
    <row r="18" spans="2:22" x14ac:dyDescent="0.3">
      <c r="B18" s="123">
        <v>0.67789916681204965</v>
      </c>
      <c r="C18" s="123">
        <v>0.13009999999999999</v>
      </c>
      <c r="D18" s="123">
        <v>0.19200083318795036</v>
      </c>
      <c r="E18" s="123">
        <v>0.77438776449110169</v>
      </c>
      <c r="F18" s="123">
        <v>6.868581448604498E-2</v>
      </c>
      <c r="G18" s="123">
        <v>0.15692642102285331</v>
      </c>
      <c r="H18" s="121"/>
      <c r="I18" s="121">
        <v>1.3442355744448746</v>
      </c>
      <c r="J18" s="121">
        <v>5.5086043601034298</v>
      </c>
      <c r="K18" s="121">
        <v>0.77307448431593728</v>
      </c>
      <c r="L18" s="121">
        <v>1.1767440263136653</v>
      </c>
      <c r="M18" s="121">
        <v>10.434023860852131</v>
      </c>
      <c r="N18" s="121">
        <v>0.94586331694513626</v>
      </c>
      <c r="O18" s="121"/>
      <c r="P18" s="121">
        <f t="shared" si="0"/>
        <v>0.8754001520898762</v>
      </c>
      <c r="Q18" s="121">
        <f t="shared" si="1"/>
        <v>1.8941320121701788</v>
      </c>
      <c r="R18" s="121">
        <f t="shared" si="2"/>
        <v>1.223508647788438</v>
      </c>
      <c r="S18" s="121"/>
      <c r="T18" s="121">
        <f t="shared" si="3"/>
        <v>0.72614346565157573</v>
      </c>
      <c r="U18" s="121">
        <f t="shared" si="4"/>
        <v>9.9392907243022494E-2</v>
      </c>
      <c r="V18" s="121">
        <f t="shared" si="5"/>
        <v>0.17446362710540184</v>
      </c>
    </row>
    <row r="19" spans="2:22" x14ac:dyDescent="0.3">
      <c r="B19" s="123">
        <v>0.66468337376249131</v>
      </c>
      <c r="C19" s="123">
        <v>0.1401</v>
      </c>
      <c r="D19" s="123">
        <v>0.19521662623750868</v>
      </c>
      <c r="E19" s="123">
        <v>0.78153394240651397</v>
      </c>
      <c r="F19" s="123">
        <v>6.4987920110673322E-2</v>
      </c>
      <c r="G19" s="123">
        <v>0.15347813748281269</v>
      </c>
      <c r="H19" s="121"/>
      <c r="I19" s="121">
        <v>1.3714770429546363</v>
      </c>
      <c r="J19" s="121">
        <v>5.1265409383697476</v>
      </c>
      <c r="K19" s="121">
        <v>0.75820164889802488</v>
      </c>
      <c r="L19" s="121">
        <v>1.1664214930216381</v>
      </c>
      <c r="M19" s="121">
        <v>11.051721369794123</v>
      </c>
      <c r="N19" s="121">
        <v>0.96439512710508268</v>
      </c>
      <c r="O19" s="121"/>
      <c r="P19" s="121">
        <f t="shared" si="0"/>
        <v>0.85048561258361444</v>
      </c>
      <c r="Q19" s="121">
        <f t="shared" si="1"/>
        <v>2.1557852561123987</v>
      </c>
      <c r="R19" s="121">
        <f t="shared" si="2"/>
        <v>1.271950711933614</v>
      </c>
      <c r="S19" s="121"/>
      <c r="T19" s="121">
        <f t="shared" si="3"/>
        <v>0.72310865808450264</v>
      </c>
      <c r="U19" s="121">
        <f t="shared" si="4"/>
        <v>0.10254396005533667</v>
      </c>
      <c r="V19" s="121">
        <f t="shared" si="5"/>
        <v>0.17434738186016069</v>
      </c>
    </row>
    <row r="20" spans="2:22" x14ac:dyDescent="0.3">
      <c r="B20" s="123">
        <v>0.65189879416859287</v>
      </c>
      <c r="C20" s="123">
        <v>0.15010000000000001</v>
      </c>
      <c r="D20" s="123">
        <v>0.19800120583140712</v>
      </c>
      <c r="E20" s="123">
        <v>0.78763766938659274</v>
      </c>
      <c r="F20" s="123">
        <v>6.192040027251719E-2</v>
      </c>
      <c r="G20" s="123">
        <v>0.15044193034089007</v>
      </c>
      <c r="H20" s="121"/>
      <c r="I20" s="121">
        <v>1.398909367301423</v>
      </c>
      <c r="J20" s="121">
        <v>4.7954091837695731</v>
      </c>
      <c r="K20" s="121">
        <v>0.74538448779960709</v>
      </c>
      <c r="L20" s="121">
        <v>1.1578259460408562</v>
      </c>
      <c r="M20" s="121">
        <v>11.624455192730492</v>
      </c>
      <c r="N20" s="121">
        <v>0.98102322309961631</v>
      </c>
      <c r="O20" s="121"/>
      <c r="P20" s="121">
        <f t="shared" si="0"/>
        <v>0.82766330192953763</v>
      </c>
      <c r="Q20" s="121">
        <f t="shared" si="1"/>
        <v>2.4240799371353634</v>
      </c>
      <c r="R20" s="121">
        <f t="shared" si="2"/>
        <v>1.3161304523463062</v>
      </c>
      <c r="S20" s="121"/>
      <c r="T20" s="121">
        <f t="shared" si="3"/>
        <v>0.71976823177759286</v>
      </c>
      <c r="U20" s="121">
        <f t="shared" si="4"/>
        <v>0.1060102001362586</v>
      </c>
      <c r="V20" s="121">
        <f t="shared" si="5"/>
        <v>0.17422156808614858</v>
      </c>
    </row>
    <row r="21" spans="2:22" x14ac:dyDescent="0.3">
      <c r="B21" s="123">
        <v>0.63948824547539673</v>
      </c>
      <c r="C21" s="123">
        <v>0.16010000000000002</v>
      </c>
      <c r="D21" s="123">
        <v>0.20041175452460325</v>
      </c>
      <c r="E21" s="123">
        <v>0.79288566782308467</v>
      </c>
      <c r="F21" s="123">
        <v>5.9348660157914242E-2</v>
      </c>
      <c r="G21" s="123">
        <v>0.14776567201900109</v>
      </c>
      <c r="H21" s="121"/>
      <c r="I21" s="121">
        <v>1.4265977461743831</v>
      </c>
      <c r="J21" s="121">
        <v>4.5053226347946893</v>
      </c>
      <c r="K21" s="121">
        <v>0.734316787613706</v>
      </c>
      <c r="L21" s="121">
        <v>1.1505977806421519</v>
      </c>
      <c r="M21" s="121">
        <v>12.153638378885004</v>
      </c>
      <c r="N21" s="121">
        <v>0.99593981316316316</v>
      </c>
      <c r="O21" s="121"/>
      <c r="P21" s="121">
        <f t="shared" si="0"/>
        <v>0.80653273407142068</v>
      </c>
      <c r="Q21" s="121">
        <f t="shared" si="1"/>
        <v>2.6976177654896971</v>
      </c>
      <c r="R21" s="121">
        <f t="shared" si="2"/>
        <v>1.3562808721827653</v>
      </c>
      <c r="S21" s="121"/>
      <c r="T21" s="121">
        <f t="shared" si="3"/>
        <v>0.7161869566492407</v>
      </c>
      <c r="U21" s="121">
        <f t="shared" si="4"/>
        <v>0.10972433007895713</v>
      </c>
      <c r="V21" s="121">
        <f t="shared" si="5"/>
        <v>0.17408871327180217</v>
      </c>
    </row>
    <row r="22" spans="2:22" x14ac:dyDescent="0.3">
      <c r="B22" s="123">
        <v>0.62740474128262813</v>
      </c>
      <c r="C22" s="123">
        <v>0.17010000000000003</v>
      </c>
      <c r="D22" s="123">
        <v>0.20249525871737184</v>
      </c>
      <c r="E22" s="123">
        <v>0.7974209270727578</v>
      </c>
      <c r="F22" s="123">
        <v>5.7174033678153845E-2</v>
      </c>
      <c r="G22" s="123">
        <v>0.14540503924908835</v>
      </c>
      <c r="H22" s="121"/>
      <c r="I22" s="121">
        <v>1.4546041785781292</v>
      </c>
      <c r="J22" s="121">
        <v>4.2488389770924488</v>
      </c>
      <c r="K22" s="121">
        <v>0.72475466272326561</v>
      </c>
      <c r="L22" s="121">
        <v>1.1444715423754757</v>
      </c>
      <c r="M22" s="121">
        <v>12.64083472003794</v>
      </c>
      <c r="N22" s="121">
        <v>1.0093142830033621</v>
      </c>
      <c r="O22" s="121"/>
      <c r="P22" s="121">
        <f t="shared" si="0"/>
        <v>0.78679242039177488</v>
      </c>
      <c r="Q22" s="121">
        <f t="shared" si="1"/>
        <v>2.975126802449048</v>
      </c>
      <c r="R22" s="121">
        <f t="shared" si="2"/>
        <v>1.3926288921148338</v>
      </c>
      <c r="S22" s="121"/>
      <c r="T22" s="121">
        <f t="shared" si="3"/>
        <v>0.71241283417769297</v>
      </c>
      <c r="U22" s="121">
        <f t="shared" si="4"/>
        <v>0.11363701683907694</v>
      </c>
      <c r="V22" s="121">
        <f t="shared" si="5"/>
        <v>0.17395014898323008</v>
      </c>
    </row>
    <row r="23" spans="2:22" x14ac:dyDescent="0.3">
      <c r="B23" s="123">
        <v>0.6156093699776275</v>
      </c>
      <c r="C23" s="123">
        <v>0.18010000000000004</v>
      </c>
      <c r="D23" s="123">
        <v>0.20429063002237247</v>
      </c>
      <c r="E23" s="123">
        <v>0.80135142040388063</v>
      </c>
      <c r="F23" s="123">
        <v>5.5324519261492143E-2</v>
      </c>
      <c r="G23" s="123">
        <v>0.14332406033462722</v>
      </c>
      <c r="H23" s="121"/>
      <c r="I23" s="121">
        <v>1.4829880294512658</v>
      </c>
      <c r="J23" s="121">
        <v>4.020247928386393</v>
      </c>
      <c r="K23" s="121">
        <v>0.71650112615415917</v>
      </c>
      <c r="L23" s="121">
        <v>1.1392521473721668</v>
      </c>
      <c r="M23" s="121">
        <v>13.087265132484431</v>
      </c>
      <c r="N23" s="121">
        <v>1.0212832802254095</v>
      </c>
      <c r="O23" s="121"/>
      <c r="P23" s="121">
        <f t="shared" si="0"/>
        <v>0.76821398740063473</v>
      </c>
      <c r="Q23" s="121">
        <f t="shared" si="1"/>
        <v>3.2553378213510502</v>
      </c>
      <c r="R23" s="121">
        <f t="shared" si="2"/>
        <v>1.4253756804363689</v>
      </c>
      <c r="S23" s="121"/>
      <c r="T23" s="121">
        <f t="shared" si="3"/>
        <v>0.70848039519075412</v>
      </c>
      <c r="U23" s="121">
        <f t="shared" si="4"/>
        <v>0.11771225963074609</v>
      </c>
      <c r="V23" s="121">
        <f t="shared" si="5"/>
        <v>0.17380734517849983</v>
      </c>
    </row>
    <row r="24" spans="2:22" x14ac:dyDescent="0.3">
      <c r="B24" s="123">
        <v>0.60406968920469217</v>
      </c>
      <c r="C24" s="123">
        <v>0.19010000000000005</v>
      </c>
      <c r="D24" s="123">
        <v>0.20583031079530778</v>
      </c>
      <c r="E24" s="123">
        <v>0.80476630612349997</v>
      </c>
      <c r="F24" s="123">
        <v>5.3743373850821424E-2</v>
      </c>
      <c r="G24" s="123">
        <v>0.1414903200256786</v>
      </c>
      <c r="H24" s="121"/>
      <c r="I24" s="121">
        <v>1.5118065745279503</v>
      </c>
      <c r="J24" s="121">
        <v>3.8150933325837388</v>
      </c>
      <c r="K24" s="121">
        <v>0.70939507652982881</v>
      </c>
      <c r="L24" s="121">
        <v>1.1347847451662114</v>
      </c>
      <c r="M24" s="121">
        <v>13.494672748631022</v>
      </c>
      <c r="N24" s="121">
        <v>1.0319787887418446</v>
      </c>
      <c r="O24" s="121"/>
      <c r="P24" s="121">
        <f t="shared" si="0"/>
        <v>0.75061503520748951</v>
      </c>
      <c r="Q24" s="121">
        <f t="shared" si="1"/>
        <v>3.5371802397012058</v>
      </c>
      <c r="R24" s="121">
        <f t="shared" si="2"/>
        <v>1.4547306894065426</v>
      </c>
      <c r="S24" s="121"/>
      <c r="T24" s="121">
        <f t="shared" si="3"/>
        <v>0.70441799766409607</v>
      </c>
      <c r="U24" s="121">
        <f t="shared" si="4"/>
        <v>0.12192168692541074</v>
      </c>
      <c r="V24" s="121">
        <f t="shared" si="5"/>
        <v>0.1736603154104932</v>
      </c>
    </row>
    <row r="25" spans="2:22" x14ac:dyDescent="0.3">
      <c r="B25" s="123">
        <v>0.59275849702574968</v>
      </c>
      <c r="C25" s="123">
        <v>0.20010000000000006</v>
      </c>
      <c r="D25" s="123">
        <v>0.20714150297425027</v>
      </c>
      <c r="E25" s="123">
        <v>0.80773679716603797</v>
      </c>
      <c r="F25" s="123">
        <v>5.2386893638112657E-2</v>
      </c>
      <c r="G25" s="123">
        <v>0.13987630919584937</v>
      </c>
      <c r="H25" s="121"/>
      <c r="I25" s="121">
        <v>1.5411155041627167</v>
      </c>
      <c r="J25" s="121">
        <v>3.6298447860748224</v>
      </c>
      <c r="K25" s="121">
        <v>0.70330328436697775</v>
      </c>
      <c r="L25" s="121">
        <v>1.1309492314769358</v>
      </c>
      <c r="M25" s="121">
        <v>13.864764471645428</v>
      </c>
      <c r="N25" s="121">
        <v>1.0415151801476425</v>
      </c>
      <c r="O25" s="121"/>
      <c r="P25" s="121">
        <f t="shared" si="0"/>
        <v>0.73385105037365594</v>
      </c>
      <c r="Q25" s="121">
        <f t="shared" si="1"/>
        <v>3.8196576682382779</v>
      </c>
      <c r="R25" s="121">
        <f t="shared" si="2"/>
        <v>1.4808905393994833</v>
      </c>
      <c r="S25" s="121"/>
      <c r="T25" s="121">
        <f t="shared" si="3"/>
        <v>0.70024764709589382</v>
      </c>
      <c r="U25" s="121">
        <f t="shared" si="4"/>
        <v>0.12624344681905636</v>
      </c>
      <c r="V25" s="121">
        <f t="shared" si="5"/>
        <v>0.17350890608504982</v>
      </c>
    </row>
    <row r="26" spans="2:22" x14ac:dyDescent="0.3">
      <c r="B26" s="123">
        <v>0.5816528813484223</v>
      </c>
      <c r="C26" s="123">
        <v>0.21010000000000006</v>
      </c>
      <c r="D26" s="123">
        <v>0.20824711865157763</v>
      </c>
      <c r="E26" s="123">
        <v>0.8103216544510301</v>
      </c>
      <c r="F26" s="123">
        <v>5.1220363841310575E-2</v>
      </c>
      <c r="G26" s="123">
        <v>0.13845798170765933</v>
      </c>
      <c r="H26" s="121"/>
      <c r="I26" s="121">
        <v>1.5709693800479709</v>
      </c>
      <c r="J26" s="121">
        <v>3.4616671873762792</v>
      </c>
      <c r="K26" s="121">
        <v>0.69811445859793841</v>
      </c>
      <c r="L26" s="121">
        <v>1.1276495714952757</v>
      </c>
      <c r="M26" s="121">
        <v>14.199357863232764</v>
      </c>
      <c r="N26" s="121">
        <v>1.0499959821672349</v>
      </c>
      <c r="O26" s="121"/>
      <c r="P26" s="121">
        <f t="shared" si="0"/>
        <v>0.71780493357600772</v>
      </c>
      <c r="Q26" s="121">
        <f t="shared" si="1"/>
        <v>4.1018841773737824</v>
      </c>
      <c r="R26" s="121">
        <f t="shared" si="2"/>
        <v>1.5040456034616432</v>
      </c>
      <c r="S26" s="121"/>
      <c r="T26" s="121">
        <f t="shared" si="3"/>
        <v>0.6959872678997262</v>
      </c>
      <c r="U26" s="121">
        <f t="shared" si="4"/>
        <v>0.13066018192065532</v>
      </c>
      <c r="V26" s="121">
        <f t="shared" si="5"/>
        <v>0.17335255017961848</v>
      </c>
    </row>
    <row r="27" spans="2:22" x14ac:dyDescent="0.3">
      <c r="B27" s="123">
        <v>0.57073347729368384</v>
      </c>
      <c r="C27" s="123">
        <v>0.22010000000000007</v>
      </c>
      <c r="D27" s="123">
        <v>0.20916652270631608</v>
      </c>
      <c r="E27" s="123">
        <v>0.8125703682983747</v>
      </c>
      <c r="F27" s="123">
        <v>5.0215634100850289E-2</v>
      </c>
      <c r="G27" s="123">
        <v>0.13721399760077502</v>
      </c>
      <c r="H27" s="121"/>
      <c r="I27" s="121">
        <v>1.6014220453887493</v>
      </c>
      <c r="J27" s="121">
        <v>3.3082558942027194</v>
      </c>
      <c r="K27" s="121">
        <v>0.69373478348768891</v>
      </c>
      <c r="L27" s="121">
        <v>1.1248074114411595</v>
      </c>
      <c r="M27" s="121">
        <v>14.500406802623434</v>
      </c>
      <c r="N27" s="121">
        <v>1.057516688382814</v>
      </c>
      <c r="O27" s="121"/>
      <c r="P27" s="121">
        <f t="shared" si="0"/>
        <v>0.70238037167029865</v>
      </c>
      <c r="Q27" s="121">
        <f t="shared" si="1"/>
        <v>4.3830970959753985</v>
      </c>
      <c r="R27" s="121">
        <f t="shared" si="2"/>
        <v>1.5243818150017565</v>
      </c>
      <c r="S27" s="121"/>
      <c r="T27" s="121">
        <f t="shared" si="3"/>
        <v>0.69165192279602927</v>
      </c>
      <c r="U27" s="121">
        <f t="shared" si="4"/>
        <v>0.13515781705042518</v>
      </c>
      <c r="V27" s="121">
        <f t="shared" si="5"/>
        <v>0.17319026015354555</v>
      </c>
    </row>
    <row r="28" spans="2:22" x14ac:dyDescent="0.3">
      <c r="B28" s="123">
        <v>0.55998388168311353</v>
      </c>
      <c r="C28" s="123">
        <v>0.23010000000000008</v>
      </c>
      <c r="D28" s="123">
        <v>0.20991611831688639</v>
      </c>
      <c r="E28" s="123">
        <v>0.81452530870141737</v>
      </c>
      <c r="F28" s="123">
        <v>4.9349485577380496E-2</v>
      </c>
      <c r="G28" s="123">
        <v>0.13612520572120212</v>
      </c>
      <c r="H28" s="121"/>
      <c r="I28" s="121">
        <v>1.6325269919392238</v>
      </c>
      <c r="J28" s="121">
        <v>3.1677167533687962</v>
      </c>
      <c r="K28" s="121">
        <v>0.69008451294288276</v>
      </c>
      <c r="L28" s="121">
        <v>1.1223577611800153</v>
      </c>
      <c r="M28" s="121">
        <v>14.769994386410588</v>
      </c>
      <c r="N28" s="121">
        <v>1.0641663423029557</v>
      </c>
      <c r="O28" s="121"/>
      <c r="P28" s="121">
        <f t="shared" si="0"/>
        <v>0.68749721549583953</v>
      </c>
      <c r="Q28" s="121">
        <f t="shared" si="1"/>
        <v>4.6626625851894836</v>
      </c>
      <c r="R28" s="121">
        <f t="shared" si="2"/>
        <v>1.5420811833101311</v>
      </c>
      <c r="S28" s="121"/>
      <c r="T28" s="121">
        <f t="shared" si="3"/>
        <v>0.6872545951922655</v>
      </c>
      <c r="U28" s="121">
        <f t="shared" si="4"/>
        <v>0.13972474278869029</v>
      </c>
      <c r="V28" s="121">
        <f t="shared" si="5"/>
        <v>0.17302066201904426</v>
      </c>
    </row>
    <row r="29" spans="2:22" x14ac:dyDescent="0.3">
      <c r="B29" s="123">
        <v>0.54939018749382429</v>
      </c>
      <c r="C29" s="123">
        <v>0.24010000000000009</v>
      </c>
      <c r="D29" s="123">
        <v>0.21050981250617562</v>
      </c>
      <c r="E29" s="123">
        <v>0.81622355006486491</v>
      </c>
      <c r="F29" s="123">
        <v>4.8602336063107654E-2</v>
      </c>
      <c r="G29" s="123">
        <v>0.13517411387202743</v>
      </c>
      <c r="H29" s="121"/>
      <c r="I29" s="121">
        <v>1.6643376882439018</v>
      </c>
      <c r="J29" s="121">
        <v>3.0384774026305599</v>
      </c>
      <c r="K29" s="121">
        <v>0.68709533722936833</v>
      </c>
      <c r="L29" s="121">
        <v>1.1202455436683865</v>
      </c>
      <c r="M29" s="121">
        <v>15.010357185801299</v>
      </c>
      <c r="N29" s="121">
        <v>1.0700296563508933</v>
      </c>
      <c r="O29" s="121"/>
      <c r="P29" s="121">
        <f t="shared" si="0"/>
        <v>0.67308789050519857</v>
      </c>
      <c r="Q29" s="121">
        <f t="shared" si="1"/>
        <v>4.9400917620141236</v>
      </c>
      <c r="R29" s="121">
        <f t="shared" si="2"/>
        <v>1.5573234140485677</v>
      </c>
      <c r="S29" s="121"/>
      <c r="T29" s="121">
        <f t="shared" si="3"/>
        <v>0.6828068687793446</v>
      </c>
      <c r="U29" s="121">
        <f t="shared" si="4"/>
        <v>0.14435116803155387</v>
      </c>
      <c r="V29" s="121">
        <f t="shared" si="5"/>
        <v>0.17284196318910153</v>
      </c>
    </row>
    <row r="30" spans="2:22" x14ac:dyDescent="0.3">
      <c r="B30" s="123">
        <v>0.53894061080055722</v>
      </c>
      <c r="C30" s="123">
        <v>0.2501000000000001</v>
      </c>
      <c r="D30" s="123">
        <v>0.21095938919944268</v>
      </c>
      <c r="E30" s="123">
        <v>0.81769819801010513</v>
      </c>
      <c r="F30" s="123">
        <v>4.7957313739775492E-2</v>
      </c>
      <c r="G30" s="123">
        <v>0.13434448825011938</v>
      </c>
      <c r="H30" s="121"/>
      <c r="I30" s="121">
        <v>1.6969078734328045</v>
      </c>
      <c r="J30" s="121">
        <v>2.9192207418007992</v>
      </c>
      <c r="K30" s="121">
        <v>0.68470832206098609</v>
      </c>
      <c r="L30" s="121">
        <v>1.1184231150388915</v>
      </c>
      <c r="M30" s="121">
        <v>15.223894972224898</v>
      </c>
      <c r="N30" s="121">
        <v>1.0751885044426652</v>
      </c>
      <c r="O30" s="121"/>
      <c r="P30" s="121">
        <f t="shared" si="0"/>
        <v>0.65909477618036405</v>
      </c>
      <c r="Q30" s="121">
        <f t="shared" si="1"/>
        <v>5.2150543993578342</v>
      </c>
      <c r="R30" s="121">
        <f t="shared" si="2"/>
        <v>1.5702868941424935</v>
      </c>
      <c r="S30" s="121"/>
      <c r="T30" s="121">
        <f t="shared" si="3"/>
        <v>0.67831940440533112</v>
      </c>
      <c r="U30" s="121">
        <f t="shared" si="4"/>
        <v>0.14902865686988781</v>
      </c>
      <c r="V30" s="121">
        <f t="shared" si="5"/>
        <v>0.17265193872478102</v>
      </c>
    </row>
    <row r="31" spans="2:22" x14ac:dyDescent="0.3">
      <c r="B31" s="123">
        <v>0.52862518963686767</v>
      </c>
      <c r="C31" s="123">
        <v>0.26010000000000011</v>
      </c>
      <c r="D31" s="123">
        <v>0.21127481036313223</v>
      </c>
      <c r="E31" s="123">
        <v>0.81897945920625337</v>
      </c>
      <c r="F31" s="123">
        <v>4.7399538959621505E-2</v>
      </c>
      <c r="G31" s="123">
        <v>0.13362100183412512</v>
      </c>
      <c r="H31" s="121"/>
      <c r="I31" s="121">
        <v>1.7302918204921602</v>
      </c>
      <c r="J31" s="121">
        <v>2.808834368074637</v>
      </c>
      <c r="K31" s="121">
        <v>0.68287227743586143</v>
      </c>
      <c r="L31" s="121">
        <v>1.1168483305079273</v>
      </c>
      <c r="M31" s="121">
        <v>15.413184076718014</v>
      </c>
      <c r="N31" s="121">
        <v>1.0797233139787472</v>
      </c>
      <c r="O31" s="121"/>
      <c r="P31" s="121">
        <f t="shared" si="0"/>
        <v>0.64546819055658111</v>
      </c>
      <c r="Q31" s="121">
        <f t="shared" si="1"/>
        <v>5.487395145796099</v>
      </c>
      <c r="R31" s="121">
        <f t="shared" si="2"/>
        <v>1.5811497254406552</v>
      </c>
      <c r="S31" s="121"/>
      <c r="T31" s="121">
        <f t="shared" si="3"/>
        <v>0.67380232442156052</v>
      </c>
      <c r="U31" s="121">
        <f t="shared" si="4"/>
        <v>0.15374976947981081</v>
      </c>
      <c r="V31" s="121">
        <f t="shared" si="5"/>
        <v>0.17244790609862867</v>
      </c>
    </row>
    <row r="32" spans="2:22" x14ac:dyDescent="0.3">
      <c r="B32" s="123">
        <v>0.51843553919429852</v>
      </c>
      <c r="C32" s="123">
        <v>0.27010000000000012</v>
      </c>
      <c r="D32" s="123">
        <v>0.21146446080570136</v>
      </c>
      <c r="E32" s="123">
        <v>0.82009557634944064</v>
      </c>
      <c r="F32" s="123">
        <v>4.6915528344743974E-2</v>
      </c>
      <c r="G32" s="123">
        <v>0.1329888953058154</v>
      </c>
      <c r="H32" s="121"/>
      <c r="I32" s="121">
        <v>1.7645445723288384</v>
      </c>
      <c r="J32" s="121">
        <v>2.7063716738455663</v>
      </c>
      <c r="K32" s="121">
        <v>0.68154245306815897</v>
      </c>
      <c r="L32" s="121">
        <v>1.1154829304894081</v>
      </c>
      <c r="M32" s="121">
        <v>15.581003025996656</v>
      </c>
      <c r="N32" s="121">
        <v>1.083714599048565</v>
      </c>
      <c r="O32" s="121"/>
      <c r="P32" s="121">
        <f t="shared" si="0"/>
        <v>0.63216477950296179</v>
      </c>
      <c r="Q32" s="121">
        <f t="shared" si="1"/>
        <v>5.7571556695526347</v>
      </c>
      <c r="R32" s="121">
        <f t="shared" si="2"/>
        <v>1.5900911148966763</v>
      </c>
      <c r="S32" s="121"/>
      <c r="T32" s="121">
        <f t="shared" si="3"/>
        <v>0.66926555777186958</v>
      </c>
      <c r="U32" s="121">
        <f t="shared" si="4"/>
        <v>0.15850776417237206</v>
      </c>
      <c r="V32" s="121">
        <f t="shared" si="5"/>
        <v>0.17222667805575836</v>
      </c>
    </row>
    <row r="33" spans="2:22" x14ac:dyDescent="0.3">
      <c r="B33" s="123">
        <v>0.50836465140673448</v>
      </c>
      <c r="C33" s="123">
        <v>0.28010000000000013</v>
      </c>
      <c r="D33" s="123">
        <v>0.21153534859326539</v>
      </c>
      <c r="E33" s="123">
        <v>0.82107354780753661</v>
      </c>
      <c r="F33" s="123">
        <v>4.6492744935094761E-2</v>
      </c>
      <c r="G33" s="123">
        <v>0.13243370725736864</v>
      </c>
      <c r="H33" s="121"/>
      <c r="I33" s="121">
        <v>1.7997221533009451</v>
      </c>
      <c r="J33" s="121">
        <v>2.6110215781647805</v>
      </c>
      <c r="K33" s="121">
        <v>0.68067948483428153</v>
      </c>
      <c r="L33" s="121">
        <v>1.1142913171845021</v>
      </c>
      <c r="M33" s="121">
        <v>15.730349865660491</v>
      </c>
      <c r="N33" s="121">
        <v>1.087244139627396</v>
      </c>
      <c r="O33" s="121"/>
      <c r="P33" s="121">
        <f t="shared" si="0"/>
        <v>0.6191463027449734</v>
      </c>
      <c r="Q33" s="121">
        <f t="shared" si="1"/>
        <v>6.0245958889075695</v>
      </c>
      <c r="R33" s="121">
        <f t="shared" si="2"/>
        <v>1.5972923583734799</v>
      </c>
      <c r="S33" s="121"/>
      <c r="T33" s="121">
        <f t="shared" si="3"/>
        <v>0.66471909960713549</v>
      </c>
      <c r="U33" s="121">
        <f t="shared" si="4"/>
        <v>0.16329637246754744</v>
      </c>
      <c r="V33" s="121">
        <f t="shared" si="5"/>
        <v>0.17198452792531702</v>
      </c>
    </row>
    <row r="34" spans="2:22" x14ac:dyDescent="0.3">
      <c r="B34" s="123">
        <v>0.49840672962678001</v>
      </c>
      <c r="C34" s="123">
        <v>0.29010000000000014</v>
      </c>
      <c r="D34" s="123">
        <v>0.21149327037321985</v>
      </c>
      <c r="E34" s="123">
        <v>0.82193972488881761</v>
      </c>
      <c r="F34" s="123">
        <v>4.6119236304058842E-2</v>
      </c>
      <c r="G34" s="123">
        <v>0.13194103880712355</v>
      </c>
      <c r="H34" s="121"/>
      <c r="I34" s="121">
        <v>1.835881758267349</v>
      </c>
      <c r="J34" s="121">
        <v>2.5220847284208987</v>
      </c>
      <c r="K34" s="121">
        <v>0.68024853619918269</v>
      </c>
      <c r="L34" s="121">
        <v>1.1132395666157451</v>
      </c>
      <c r="M34" s="121">
        <v>15.864460003005552</v>
      </c>
      <c r="N34" s="121">
        <v>1.0903960502969248</v>
      </c>
      <c r="O34" s="121"/>
      <c r="P34" s="121">
        <f t="shared" si="0"/>
        <v>0.60637868512097848</v>
      </c>
      <c r="Q34" s="121">
        <f t="shared" si="1"/>
        <v>6.2902169083504349</v>
      </c>
      <c r="R34" s="121">
        <f t="shared" si="2"/>
        <v>1.6029377385938943</v>
      </c>
      <c r="S34" s="121"/>
      <c r="T34" s="121">
        <f t="shared" si="3"/>
        <v>0.66017322725779881</v>
      </c>
      <c r="U34" s="121">
        <f t="shared" si="4"/>
        <v>0.16810961815202949</v>
      </c>
      <c r="V34" s="121">
        <f t="shared" si="5"/>
        <v>0.1717171545901717</v>
      </c>
    </row>
    <row r="35" spans="2:22" x14ac:dyDescent="0.3">
      <c r="B35" s="123">
        <v>0.48855705106381753</v>
      </c>
      <c r="C35" s="123">
        <v>0.30010000000000014</v>
      </c>
      <c r="D35" s="123">
        <v>0.21134294893618233</v>
      </c>
      <c r="E35" s="123">
        <v>0.82272035444276093</v>
      </c>
      <c r="F35" s="123">
        <v>4.578331956624479E-2</v>
      </c>
      <c r="G35" s="123">
        <v>0.13149632599099428</v>
      </c>
      <c r="H35" s="121"/>
      <c r="I35" s="121">
        <v>1.8730819206502343</v>
      </c>
      <c r="J35" s="121">
        <v>2.4389546062809675</v>
      </c>
      <c r="K35" s="121">
        <v>0.68021859264199791</v>
      </c>
      <c r="L35" s="121">
        <v>1.1122945659629921</v>
      </c>
      <c r="M35" s="121">
        <v>15.986832852647881</v>
      </c>
      <c r="N35" s="121">
        <v>1.0932579462336101</v>
      </c>
      <c r="O35" s="121"/>
      <c r="P35" s="121">
        <f t="shared" si="0"/>
        <v>0.59383124341772664</v>
      </c>
      <c r="Q35" s="121">
        <f t="shared" si="1"/>
        <v>6.5547890114385332</v>
      </c>
      <c r="R35" s="121">
        <f t="shared" si="2"/>
        <v>1.6072156187136093</v>
      </c>
      <c r="S35" s="121"/>
      <c r="T35" s="121">
        <f t="shared" si="3"/>
        <v>0.65563870275328928</v>
      </c>
      <c r="U35" s="121">
        <f t="shared" si="4"/>
        <v>0.17294165978312248</v>
      </c>
      <c r="V35" s="121">
        <f t="shared" si="5"/>
        <v>0.17141963746358829</v>
      </c>
    </row>
    <row r="36" spans="2:22" x14ac:dyDescent="0.3">
      <c r="B36" s="123">
        <v>0.47881185111294011</v>
      </c>
      <c r="C36" s="123">
        <v>0.31010000000000015</v>
      </c>
      <c r="D36" s="123">
        <v>0.21108814888705973</v>
      </c>
      <c r="E36" s="123">
        <v>0.82344192546718498</v>
      </c>
      <c r="F36" s="123">
        <v>4.5473378233393209E-2</v>
      </c>
      <c r="G36" s="123">
        <v>0.13108469629942182</v>
      </c>
      <c r="H36" s="121"/>
      <c r="I36" s="121">
        <v>1.9113826605257378</v>
      </c>
      <c r="J36" s="121">
        <v>2.3611023903006698</v>
      </c>
      <c r="K36" s="121">
        <v>0.6805618773386628</v>
      </c>
      <c r="L36" s="121">
        <v>1.111423455093405</v>
      </c>
      <c r="M36" s="121">
        <v>16.101241642402673</v>
      </c>
      <c r="N36" s="121">
        <v>1.0959215754856524</v>
      </c>
      <c r="O36" s="121"/>
      <c r="P36" s="121">
        <f t="shared" si="0"/>
        <v>0.58147616280441783</v>
      </c>
      <c r="Q36" s="121">
        <f t="shared" si="1"/>
        <v>6.8193745889826882</v>
      </c>
      <c r="R36" s="121">
        <f t="shared" si="2"/>
        <v>1.610318785076903</v>
      </c>
      <c r="S36" s="121"/>
      <c r="T36" s="121">
        <f t="shared" si="3"/>
        <v>0.65112688829006249</v>
      </c>
      <c r="U36" s="121">
        <f t="shared" si="4"/>
        <v>0.17778668911669668</v>
      </c>
      <c r="V36" s="121">
        <f t="shared" si="5"/>
        <v>0.17108642259324078</v>
      </c>
    </row>
    <row r="37" spans="2:22" x14ac:dyDescent="0.3">
      <c r="B37" s="123">
        <v>0.46916822480258213</v>
      </c>
      <c r="C37" s="123">
        <v>0.32010000000000016</v>
      </c>
      <c r="D37" s="123">
        <v>0.2107317751974177</v>
      </c>
      <c r="E37" s="123">
        <v>0.82413146533558579</v>
      </c>
      <c r="F37" s="123">
        <v>4.5177695236296465E-2</v>
      </c>
      <c r="G37" s="123">
        <v>0.13069083942811774</v>
      </c>
      <c r="H37" s="121"/>
      <c r="I37" s="121">
        <v>1.9508456133656396</v>
      </c>
      <c r="J37" s="121">
        <v>2.2880647244759276</v>
      </c>
      <c r="K37" s="121">
        <v>0.68125336391023228</v>
      </c>
      <c r="L37" s="121">
        <v>1.1105931659992649</v>
      </c>
      <c r="M37" s="121">
        <v>16.211750388636816</v>
      </c>
      <c r="N37" s="121">
        <v>1.0984835001765905</v>
      </c>
      <c r="O37" s="121"/>
      <c r="P37" s="121">
        <f t="shared" si="0"/>
        <v>0.56928808635104977</v>
      </c>
      <c r="Q37" s="121">
        <f t="shared" si="1"/>
        <v>7.0853548045281167</v>
      </c>
      <c r="R37" s="121">
        <f t="shared" si="2"/>
        <v>1.612444882285142</v>
      </c>
      <c r="S37" s="121"/>
      <c r="T37" s="121">
        <f t="shared" si="3"/>
        <v>0.64664984506908396</v>
      </c>
      <c r="U37" s="121">
        <f t="shared" si="4"/>
        <v>0.1826388476181483</v>
      </c>
      <c r="V37" s="121">
        <f t="shared" si="5"/>
        <v>0.17071130731276773</v>
      </c>
    </row>
    <row r="38" spans="2:22" x14ac:dyDescent="0.3">
      <c r="B38" s="123">
        <v>0.45962404143423152</v>
      </c>
      <c r="C38" s="123">
        <v>0.33010000000000017</v>
      </c>
      <c r="D38" s="123">
        <v>0.21027595856576831</v>
      </c>
      <c r="E38" s="123">
        <v>0.8248166231545413</v>
      </c>
      <c r="F38" s="123">
        <v>4.4884400280453811E-2</v>
      </c>
      <c r="G38" s="123">
        <v>0.13029897656500489</v>
      </c>
      <c r="H38" s="121"/>
      <c r="I38" s="121">
        <v>1.9915341397492758</v>
      </c>
      <c r="J38" s="121">
        <v>2.2194337552953045</v>
      </c>
      <c r="K38" s="121">
        <v>0.68227036767499383</v>
      </c>
      <c r="L38" s="121">
        <v>1.1097702741064936</v>
      </c>
      <c r="M38" s="121">
        <v>16.322710742378511</v>
      </c>
      <c r="N38" s="121">
        <v>1.1010451451420669</v>
      </c>
      <c r="O38" s="121"/>
      <c r="P38" s="121">
        <f t="shared" si="0"/>
        <v>0.55724391159380682</v>
      </c>
      <c r="Q38" s="121">
        <f t="shared" si="1"/>
        <v>7.3544482701655172</v>
      </c>
      <c r="R38" s="121">
        <f t="shared" si="2"/>
        <v>1.6137959338526628</v>
      </c>
      <c r="S38" s="121"/>
      <c r="T38" s="121">
        <f t="shared" si="3"/>
        <v>0.64222033229438646</v>
      </c>
      <c r="U38" s="121">
        <f t="shared" si="4"/>
        <v>0.18749220014022699</v>
      </c>
      <c r="V38" s="121">
        <f t="shared" si="5"/>
        <v>0.1702874675653866</v>
      </c>
    </row>
    <row r="39" spans="2:22" x14ac:dyDescent="0.3">
      <c r="B39" s="123">
        <v>0.45017786916686792</v>
      </c>
      <c r="C39" s="123">
        <v>0.34010000000000018</v>
      </c>
      <c r="D39" s="123">
        <v>0.2097221308331319</v>
      </c>
      <c r="E39" s="123">
        <v>0.8255255645962376</v>
      </c>
      <c r="F39" s="123">
        <v>4.4581517685357529E-2</v>
      </c>
      <c r="G39" s="123">
        <v>0.12989291771840486</v>
      </c>
      <c r="H39" s="121"/>
      <c r="I39" s="121">
        <v>2.0335134161403188</v>
      </c>
      <c r="J39" s="121">
        <v>2.1548489549117074</v>
      </c>
      <c r="K39" s="121">
        <v>0.68359220107315743</v>
      </c>
      <c r="L39" s="121">
        <v>1.1089211235366498</v>
      </c>
      <c r="M39" s="121">
        <v>16.43874339895288</v>
      </c>
      <c r="N39" s="121">
        <v>1.1037123158690871</v>
      </c>
      <c r="O39" s="121"/>
      <c r="P39" s="121">
        <f t="shared" si="0"/>
        <v>0.54532274768141042</v>
      </c>
      <c r="Q39" s="121">
        <f t="shared" si="1"/>
        <v>7.628721893236567</v>
      </c>
      <c r="R39" s="121">
        <f t="shared" si="2"/>
        <v>1.6145771033320613</v>
      </c>
      <c r="S39" s="121"/>
      <c r="T39" s="121">
        <f t="shared" si="3"/>
        <v>0.63785171688155273</v>
      </c>
      <c r="U39" s="121">
        <f t="shared" si="4"/>
        <v>0.19234075884267884</v>
      </c>
      <c r="V39" s="121">
        <f t="shared" si="5"/>
        <v>0.1698075242757684</v>
      </c>
    </row>
    <row r="40" spans="2:22" x14ac:dyDescent="0.3">
      <c r="B40" s="123">
        <v>0.44082890688160614</v>
      </c>
      <c r="C40" s="123">
        <v>0.35010000000000019</v>
      </c>
      <c r="D40" s="123">
        <v>0.20907109311839367</v>
      </c>
      <c r="E40" s="123">
        <v>0.82628675968642684</v>
      </c>
      <c r="F40" s="123">
        <v>4.4257073453922734E-2</v>
      </c>
      <c r="G40" s="123">
        <v>0.12945616685965042</v>
      </c>
      <c r="H40" s="121"/>
      <c r="I40" s="121">
        <v>2.0768505066593757</v>
      </c>
      <c r="J40" s="121">
        <v>2.0939903620575153</v>
      </c>
      <c r="K40" s="121">
        <v>0.68519988212430782</v>
      </c>
      <c r="L40" s="121">
        <v>1.1080121130763432</v>
      </c>
      <c r="M40" s="121">
        <v>16.564719909001518</v>
      </c>
      <c r="N40" s="121">
        <v>1.1065945472928578</v>
      </c>
      <c r="O40" s="121"/>
      <c r="P40" s="121">
        <f t="shared" si="0"/>
        <v>0.53350595506201659</v>
      </c>
      <c r="Q40" s="121">
        <f t="shared" si="1"/>
        <v>7.9105998810449814</v>
      </c>
      <c r="R40" s="121">
        <f t="shared" si="2"/>
        <v>1.6149952388522177</v>
      </c>
      <c r="S40" s="121"/>
      <c r="T40" s="121">
        <f t="shared" si="3"/>
        <v>0.63355783328401649</v>
      </c>
      <c r="U40" s="121">
        <f t="shared" si="4"/>
        <v>0.19717853672696145</v>
      </c>
      <c r="V40" s="121">
        <f t="shared" si="5"/>
        <v>0.16926362998902206</v>
      </c>
    </row>
    <row r="41" spans="2:22" x14ac:dyDescent="0.3">
      <c r="B41" s="123">
        <v>0.43157692120419133</v>
      </c>
      <c r="C41" s="123">
        <v>0.3601000000000002</v>
      </c>
      <c r="D41" s="123">
        <v>0.20832307879580847</v>
      </c>
      <c r="E41" s="123">
        <v>0.82712841760570466</v>
      </c>
      <c r="F41" s="123">
        <v>4.3899380729221824E-2</v>
      </c>
      <c r="G41" s="123">
        <v>0.1289722016650735</v>
      </c>
      <c r="H41" s="121"/>
      <c r="I41" s="121">
        <v>2.1216144156490122</v>
      </c>
      <c r="J41" s="121">
        <v>2.0365729570582731</v>
      </c>
      <c r="K41" s="121">
        <v>0.68707588717710688</v>
      </c>
      <c r="L41" s="121">
        <v>1.1070104689894953</v>
      </c>
      <c r="M41" s="121">
        <v>16.705700847130935</v>
      </c>
      <c r="N41" s="121">
        <v>1.1098032160046323</v>
      </c>
      <c r="O41" s="121"/>
      <c r="P41" s="121">
        <f t="shared" si="0"/>
        <v>0.52177740725373767</v>
      </c>
      <c r="Q41" s="121">
        <f t="shared" si="1"/>
        <v>8.2028491978315756</v>
      </c>
      <c r="R41" s="121">
        <f t="shared" si="2"/>
        <v>1.6152556605709529</v>
      </c>
      <c r="S41" s="121"/>
      <c r="T41" s="121">
        <f t="shared" si="3"/>
        <v>0.62935266940494805</v>
      </c>
      <c r="U41" s="121">
        <f t="shared" si="4"/>
        <v>0.20199969036461102</v>
      </c>
      <c r="V41" s="121">
        <f t="shared" si="5"/>
        <v>0.16864764023044099</v>
      </c>
    </row>
    <row r="42" spans="2:22" x14ac:dyDescent="0.3">
      <c r="B42" s="123">
        <v>0.42242218710187052</v>
      </c>
      <c r="C42" s="123">
        <v>0.37010000000000021</v>
      </c>
      <c r="D42" s="123">
        <v>0.20747781289812928</v>
      </c>
      <c r="E42" s="123">
        <v>0.82807782436105404</v>
      </c>
      <c r="F42" s="123">
        <v>4.3497375434938673E-2</v>
      </c>
      <c r="G42" s="123">
        <v>0.12842480020400729</v>
      </c>
      <c r="H42" s="121"/>
      <c r="I42" s="121">
        <v>2.1678761206815436</v>
      </c>
      <c r="J42" s="121">
        <v>1.9823419509187876</v>
      </c>
      <c r="K42" s="121">
        <v>0.68920394099279314</v>
      </c>
      <c r="L42" s="121">
        <v>1.1058851539356427</v>
      </c>
      <c r="M42" s="121">
        <v>16.866874120541475</v>
      </c>
      <c r="N42" s="121">
        <v>1.1134494746404442</v>
      </c>
      <c r="O42" s="121"/>
      <c r="P42" s="121">
        <f t="shared" si="0"/>
        <v>0.51012377662427089</v>
      </c>
      <c r="Q42" s="121">
        <f t="shared" si="1"/>
        <v>8.5085593394842487</v>
      </c>
      <c r="R42" s="121">
        <f t="shared" si="2"/>
        <v>1.6155587750071911</v>
      </c>
      <c r="S42" s="121"/>
      <c r="T42" s="121">
        <f t="shared" si="3"/>
        <v>0.62525000573146228</v>
      </c>
      <c r="U42" s="121">
        <f t="shared" si="4"/>
        <v>0.20679868771746945</v>
      </c>
      <c r="V42" s="121">
        <f t="shared" si="5"/>
        <v>0.16795130655106827</v>
      </c>
    </row>
    <row r="43" spans="2:22" x14ac:dyDescent="0.3">
      <c r="B43" s="123">
        <v>0.41336543101928308</v>
      </c>
      <c r="C43" s="123">
        <v>0.38010000000000022</v>
      </c>
      <c r="D43" s="123">
        <v>0.2065345689807167</v>
      </c>
      <c r="E43" s="123">
        <v>0.82916048019141653</v>
      </c>
      <c r="F43" s="123">
        <v>4.3041049226537668E-2</v>
      </c>
      <c r="G43" s="123">
        <v>0.1277984705820458</v>
      </c>
      <c r="H43" s="121"/>
      <c r="I43" s="121">
        <v>2.2157085854598133</v>
      </c>
      <c r="J43" s="121">
        <v>1.9310688166583645</v>
      </c>
      <c r="K43" s="121">
        <v>0.69156883849999951</v>
      </c>
      <c r="L43" s="121">
        <v>1.1046080418959203</v>
      </c>
      <c r="M43" s="121">
        <v>17.053470359158567</v>
      </c>
      <c r="N43" s="121">
        <v>1.117641481385292</v>
      </c>
      <c r="O43" s="121"/>
      <c r="P43" s="121">
        <f t="shared" si="0"/>
        <v>0.49853489269514539</v>
      </c>
      <c r="Q43" s="121">
        <f t="shared" si="1"/>
        <v>8.8311044184685734</v>
      </c>
      <c r="R43" s="121">
        <f t="shared" si="2"/>
        <v>1.6160957798639917</v>
      </c>
      <c r="S43" s="121"/>
      <c r="T43" s="121">
        <f t="shared" si="3"/>
        <v>0.62126295560534983</v>
      </c>
      <c r="U43" s="121">
        <f t="shared" si="4"/>
        <v>0.21157052461326895</v>
      </c>
      <c r="V43" s="121">
        <f t="shared" si="5"/>
        <v>0.16716651978138125</v>
      </c>
    </row>
    <row r="44" spans="2:22" x14ac:dyDescent="0.3">
      <c r="B44" s="123">
        <v>0.40440777605869277</v>
      </c>
      <c r="C44" s="123">
        <v>0.39010000000000022</v>
      </c>
      <c r="D44" s="123">
        <v>0.20549222394130701</v>
      </c>
      <c r="E44" s="123">
        <v>0.83039913891953143</v>
      </c>
      <c r="F44" s="123">
        <v>4.2521924762455157E-2</v>
      </c>
      <c r="G44" s="123">
        <v>0.12707893631801342</v>
      </c>
      <c r="H44" s="121"/>
      <c r="I44" s="121">
        <v>2.26518675177666</v>
      </c>
      <c r="J44" s="121">
        <v>1.8825479278622346</v>
      </c>
      <c r="K44" s="121">
        <v>0.69415629347895502</v>
      </c>
      <c r="L44" s="121">
        <v>1.1031552101987216</v>
      </c>
      <c r="M44" s="121">
        <v>17.270665680389957</v>
      </c>
      <c r="N44" s="121">
        <v>1.1224812281468977</v>
      </c>
      <c r="O44" s="121"/>
      <c r="P44" s="121">
        <f t="shared" si="0"/>
        <v>0.48700408888295016</v>
      </c>
      <c r="Q44" s="121">
        <f t="shared" si="1"/>
        <v>9.1740908291254026</v>
      </c>
      <c r="R44" s="121">
        <f t="shared" si="2"/>
        <v>1.6170439405242214</v>
      </c>
      <c r="S44" s="121"/>
      <c r="T44" s="121">
        <f t="shared" si="3"/>
        <v>0.61740345748911207</v>
      </c>
      <c r="U44" s="121">
        <f t="shared" si="4"/>
        <v>0.21631096238122768</v>
      </c>
      <c r="V44" s="121">
        <f t="shared" si="5"/>
        <v>0.16628558012966022</v>
      </c>
    </row>
    <row r="45" spans="2:22" x14ac:dyDescent="0.3">
      <c r="B45" s="123">
        <v>0.39555068919671366</v>
      </c>
      <c r="C45" s="123">
        <v>0.40010000000000023</v>
      </c>
      <c r="D45" s="123">
        <v>0.20434931080328611</v>
      </c>
      <c r="E45" s="123">
        <v>0.83181289821931892</v>
      </c>
      <c r="F45" s="123">
        <v>4.1933495203832744E-2</v>
      </c>
      <c r="G45" s="123">
        <v>0.12625360657684834</v>
      </c>
      <c r="H45" s="121"/>
      <c r="I45" s="121">
        <v>2.3163875093308124</v>
      </c>
      <c r="J45" s="121">
        <v>1.8365936976243289</v>
      </c>
      <c r="K45" s="121">
        <v>0.69695281008357723</v>
      </c>
      <c r="L45" s="121">
        <v>1.1015081368946027</v>
      </c>
      <c r="M45" s="121">
        <v>17.523488916142895</v>
      </c>
      <c r="N45" s="121">
        <v>1.1280614492093979</v>
      </c>
      <c r="O45" s="121"/>
      <c r="P45" s="121">
        <f t="shared" si="0"/>
        <v>0.4755284392000631</v>
      </c>
      <c r="Q45" s="121">
        <f t="shared" si="1"/>
        <v>9.5412986219052609</v>
      </c>
      <c r="R45" s="121">
        <f t="shared" si="2"/>
        <v>1.6185621650253792</v>
      </c>
      <c r="S45" s="121"/>
      <c r="T45" s="121">
        <f t="shared" si="3"/>
        <v>0.61368179370801634</v>
      </c>
      <c r="U45" s="121">
        <f t="shared" si="4"/>
        <v>0.22101674760191647</v>
      </c>
      <c r="V45" s="121">
        <f t="shared" si="5"/>
        <v>0.16530145869006724</v>
      </c>
    </row>
    <row r="46" spans="2:22" x14ac:dyDescent="0.3">
      <c r="B46" s="123">
        <v>0.38679593089974257</v>
      </c>
      <c r="C46" s="123">
        <v>0.41010000000000024</v>
      </c>
      <c r="D46" s="123">
        <v>0.20310406910025719</v>
      </c>
      <c r="E46" s="123">
        <v>0.83341647103911021</v>
      </c>
      <c r="F46" s="123">
        <v>4.1271559907423129E-2</v>
      </c>
      <c r="G46" s="123">
        <v>0.12531196905346667</v>
      </c>
      <c r="H46" s="121"/>
      <c r="I46" s="121">
        <v>2.3693896417857463</v>
      </c>
      <c r="J46" s="121">
        <v>1.7930381327198761</v>
      </c>
      <c r="K46" s="121">
        <v>0.69994557359442855</v>
      </c>
      <c r="L46" s="121">
        <v>1.0996546192758381</v>
      </c>
      <c r="M46" s="121">
        <v>17.816746928825573</v>
      </c>
      <c r="N46" s="121">
        <v>1.1344630143437138</v>
      </c>
      <c r="O46" s="121"/>
      <c r="P46" s="121">
        <f t="shared" si="0"/>
        <v>0.46410881514914432</v>
      </c>
      <c r="Q46" s="121">
        <f t="shared" si="1"/>
        <v>9.9366246616290219</v>
      </c>
      <c r="R46" s="121">
        <f t="shared" si="2"/>
        <v>1.6207874685426025</v>
      </c>
      <c r="S46" s="121"/>
      <c r="T46" s="121">
        <f t="shared" si="3"/>
        <v>0.61010620096942636</v>
      </c>
      <c r="U46" s="121">
        <f t="shared" si="4"/>
        <v>0.2256857799537117</v>
      </c>
      <c r="V46" s="121">
        <f t="shared" si="5"/>
        <v>0.16420801907686194</v>
      </c>
    </row>
    <row r="47" spans="2:22" x14ac:dyDescent="0.3">
      <c r="B47" s="123">
        <v>0.37814550769564237</v>
      </c>
      <c r="C47" s="123">
        <v>0.42010000000000025</v>
      </c>
      <c r="D47" s="123">
        <v>0.20175449230435738</v>
      </c>
      <c r="E47" s="123">
        <v>0.83521965603995296</v>
      </c>
      <c r="F47" s="123">
        <v>4.053444437612283E-2</v>
      </c>
      <c r="G47" s="123">
        <v>0.12424589958392421</v>
      </c>
      <c r="H47" s="121"/>
      <c r="I47" s="121">
        <v>2.4242737470824176</v>
      </c>
      <c r="J47" s="121">
        <v>1.7517287344771373</v>
      </c>
      <c r="K47" s="121">
        <v>0.7031223572097931</v>
      </c>
      <c r="L47" s="121">
        <v>1.0975893829297596</v>
      </c>
      <c r="M47" s="121">
        <v>18.154960618809788</v>
      </c>
      <c r="N47" s="121">
        <v>1.1417527232831066</v>
      </c>
      <c r="O47" s="121"/>
      <c r="P47" s="121">
        <f t="shared" si="0"/>
        <v>0.45274977062746913</v>
      </c>
      <c r="Q47" s="121">
        <f t="shared" si="1"/>
        <v>10.364025126429606</v>
      </c>
      <c r="R47" s="121">
        <f t="shared" si="2"/>
        <v>1.6238321987284461</v>
      </c>
      <c r="S47" s="121"/>
      <c r="T47" s="121">
        <f t="shared" si="3"/>
        <v>0.60668258186779767</v>
      </c>
      <c r="U47" s="121">
        <f t="shared" si="4"/>
        <v>0.23031722218806155</v>
      </c>
      <c r="V47" s="121">
        <f t="shared" si="5"/>
        <v>0.16300019594414078</v>
      </c>
    </row>
    <row r="48" spans="2:22" x14ac:dyDescent="0.3">
      <c r="B48" s="123">
        <v>0.36960162825315201</v>
      </c>
      <c r="C48" s="123">
        <v>0.43010000000000026</v>
      </c>
      <c r="D48" s="123">
        <v>0.20029837174684773</v>
      </c>
      <c r="E48" s="123">
        <v>0.83722720534881057</v>
      </c>
      <c r="F48" s="123">
        <v>3.9723008726912264E-2</v>
      </c>
      <c r="G48" s="123">
        <v>0.12304978592427718</v>
      </c>
      <c r="H48" s="121"/>
      <c r="I48" s="121">
        <v>2.4811221297717165</v>
      </c>
      <c r="J48" s="121">
        <v>1.712526690594415</v>
      </c>
      <c r="K48" s="121">
        <v>0.70647144209937174</v>
      </c>
      <c r="L48" s="121">
        <v>1.0953141192736295</v>
      </c>
      <c r="M48" s="121">
        <v>18.542344933847922</v>
      </c>
      <c r="N48" s="121">
        <v>1.1499823301214966</v>
      </c>
      <c r="O48" s="121"/>
      <c r="P48" s="121">
        <f t="shared" si="0"/>
        <v>0.44145917128811696</v>
      </c>
      <c r="Q48" s="121">
        <f t="shared" si="1"/>
        <v>10.82747792235104</v>
      </c>
      <c r="R48" s="121">
        <f t="shared" si="2"/>
        <v>1.6277831793231079</v>
      </c>
      <c r="S48" s="121"/>
      <c r="T48" s="121">
        <f t="shared" si="3"/>
        <v>0.60341441680098129</v>
      </c>
      <c r="U48" s="121">
        <f t="shared" si="4"/>
        <v>0.23491150436345626</v>
      </c>
      <c r="V48" s="121">
        <f t="shared" si="5"/>
        <v>0.16167407883556245</v>
      </c>
    </row>
    <row r="49" spans="2:22" x14ac:dyDescent="0.3">
      <c r="B49" s="123">
        <v>0.36116666333352659</v>
      </c>
      <c r="C49" s="123">
        <v>0.44010000000000027</v>
      </c>
      <c r="D49" s="123">
        <v>0.19873333666647314</v>
      </c>
      <c r="E49" s="123">
        <v>0.83943900176171105</v>
      </c>
      <c r="F49" s="123">
        <v>3.8840490802655239E-2</v>
      </c>
      <c r="G49" s="123">
        <v>0.12172050743563372</v>
      </c>
      <c r="H49" s="121"/>
      <c r="I49" s="121">
        <v>2.5400186630991599</v>
      </c>
      <c r="J49" s="121">
        <v>1.6753053120249901</v>
      </c>
      <c r="K49" s="121">
        <v>0.70998154840155792</v>
      </c>
      <c r="L49" s="121">
        <v>1.0928370774185443</v>
      </c>
      <c r="M49" s="121">
        <v>18.982815422399213</v>
      </c>
      <c r="N49" s="121">
        <v>1.1591884149849052</v>
      </c>
      <c r="O49" s="121"/>
      <c r="P49" s="121">
        <f t="shared" si="0"/>
        <v>0.4302476565605774</v>
      </c>
      <c r="Q49" s="121">
        <f t="shared" si="1"/>
        <v>11.330958772794752</v>
      </c>
      <c r="R49" s="121">
        <f t="shared" si="2"/>
        <v>1.6327021703517306</v>
      </c>
      <c r="S49" s="121"/>
      <c r="T49" s="121">
        <f t="shared" si="3"/>
        <v>0.60030283254761885</v>
      </c>
      <c r="U49" s="121">
        <f t="shared" si="4"/>
        <v>0.23947024540132775</v>
      </c>
      <c r="V49" s="121">
        <f t="shared" si="5"/>
        <v>0.16022692205105343</v>
      </c>
    </row>
    <row r="50" spans="2:22" x14ac:dyDescent="0.3">
      <c r="B50" s="123">
        <v>0.3528431096768016</v>
      </c>
      <c r="C50" s="123">
        <v>0.45010000000000028</v>
      </c>
      <c r="D50" s="123">
        <v>0.19705689032319812</v>
      </c>
      <c r="E50" s="123">
        <v>0.84185055670592346</v>
      </c>
      <c r="F50" s="123">
        <v>3.7892185192184569E-2</v>
      </c>
      <c r="G50" s="123">
        <v>0.12025725810189197</v>
      </c>
      <c r="H50" s="121"/>
      <c r="I50" s="121">
        <v>2.6010486187918671</v>
      </c>
      <c r="J50" s="121">
        <v>1.6399486768070377</v>
      </c>
      <c r="K50" s="121">
        <v>0.71364177533643502</v>
      </c>
      <c r="L50" s="121">
        <v>1.0901722114031531</v>
      </c>
      <c r="M50" s="121">
        <v>19.480029871254111</v>
      </c>
      <c r="N50" s="121">
        <v>1.169393276315783</v>
      </c>
      <c r="O50" s="121"/>
      <c r="P50" s="121">
        <f t="shared" si="0"/>
        <v>0.41912796382464984</v>
      </c>
      <c r="Q50" s="121">
        <f t="shared" si="1"/>
        <v>11.878438726010328</v>
      </c>
      <c r="R50" s="121">
        <f t="shared" si="2"/>
        <v>1.6386278336417341</v>
      </c>
      <c r="S50" s="121"/>
      <c r="T50" s="121">
        <f t="shared" si="3"/>
        <v>0.5973468331913625</v>
      </c>
      <c r="U50" s="121">
        <f t="shared" si="4"/>
        <v>0.24399609259609242</v>
      </c>
      <c r="V50" s="121">
        <f t="shared" si="5"/>
        <v>0.15865707421254505</v>
      </c>
    </row>
    <row r="51" spans="2:22" x14ac:dyDescent="0.3">
      <c r="B51" s="123">
        <v>0.3446335575563822</v>
      </c>
      <c r="C51" s="123">
        <v>0.46010000000000029</v>
      </c>
      <c r="D51" s="123">
        <v>0.19526644244361752</v>
      </c>
      <c r="E51" s="123">
        <v>0.84445368548438493</v>
      </c>
      <c r="F51" s="123">
        <v>3.6885034809387575E-2</v>
      </c>
      <c r="G51" s="123">
        <v>0.1186612797062275</v>
      </c>
      <c r="H51" s="121"/>
      <c r="I51" s="121">
        <v>2.6642984629556214</v>
      </c>
      <c r="J51" s="121">
        <v>1.6063504489556855</v>
      </c>
      <c r="K51" s="121">
        <v>0.71744154909736957</v>
      </c>
      <c r="L51" s="121">
        <v>1.0873380902514584</v>
      </c>
      <c r="M51" s="121">
        <v>20.037444600063338</v>
      </c>
      <c r="N51" s="121">
        <v>1.1806063384813554</v>
      </c>
      <c r="O51" s="121"/>
      <c r="P51" s="121">
        <f t="shared" si="0"/>
        <v>0.40811422044857065</v>
      </c>
      <c r="Q51" s="121">
        <f t="shared" si="1"/>
        <v>12.473893609635436</v>
      </c>
      <c r="R51" s="121">
        <f t="shared" si="2"/>
        <v>1.6455784306982295</v>
      </c>
      <c r="S51" s="121"/>
      <c r="T51" s="121">
        <f t="shared" si="3"/>
        <v>0.59454362152038354</v>
      </c>
      <c r="U51" s="121">
        <f t="shared" si="4"/>
        <v>0.24849251740469394</v>
      </c>
      <c r="V51" s="121">
        <f t="shared" si="5"/>
        <v>0.15696386107492249</v>
      </c>
    </row>
    <row r="52" spans="2:22" x14ac:dyDescent="0.3">
      <c r="B52" s="123">
        <v>0.33654066146306716</v>
      </c>
      <c r="C52" s="123">
        <v>0.4701000000000003</v>
      </c>
      <c r="D52" s="123">
        <v>0.19335933853693255</v>
      </c>
      <c r="E52" s="123">
        <v>0.84723738240596025</v>
      </c>
      <c r="F52" s="123">
        <v>3.5827133389324931E-2</v>
      </c>
      <c r="G52" s="123">
        <v>0.11693548420471482</v>
      </c>
      <c r="H52" s="121"/>
      <c r="I52" s="121">
        <v>2.7298556171370745</v>
      </c>
      <c r="J52" s="121">
        <v>1.5744128456996556</v>
      </c>
      <c r="K52" s="121">
        <v>0.72137057762769674</v>
      </c>
      <c r="L52" s="121">
        <v>1.0843565618894926</v>
      </c>
      <c r="M52" s="121">
        <v>20.658406317931608</v>
      </c>
      <c r="N52" s="121">
        <v>1.1928264433908469</v>
      </c>
      <c r="O52" s="121"/>
      <c r="P52" s="121">
        <f t="shared" si="0"/>
        <v>0.39722121385551795</v>
      </c>
      <c r="Q52" s="121">
        <f t="shared" si="1"/>
        <v>13.121340043914078</v>
      </c>
      <c r="R52" s="121">
        <f t="shared" si="2"/>
        <v>1.6535557179412297</v>
      </c>
      <c r="S52" s="121"/>
      <c r="T52" s="121">
        <f t="shared" si="3"/>
        <v>0.59188902193451365</v>
      </c>
      <c r="U52" s="121">
        <f t="shared" si="4"/>
        <v>0.25296356669466263</v>
      </c>
      <c r="V52" s="121">
        <f t="shared" si="5"/>
        <v>0.15514741137082369</v>
      </c>
    </row>
    <row r="53" spans="2:22" x14ac:dyDescent="0.3">
      <c r="B53" s="123">
        <v>0.3285671132153905</v>
      </c>
      <c r="C53" s="123">
        <v>0.4801000000000003</v>
      </c>
      <c r="D53" s="123">
        <v>0.19133288678460919</v>
      </c>
      <c r="E53" s="123">
        <v>0.8501886275134054</v>
      </c>
      <c r="F53" s="123">
        <v>3.4727272177225557E-2</v>
      </c>
      <c r="G53" s="123">
        <v>0.11508410030936904</v>
      </c>
      <c r="H53" s="121"/>
      <c r="I53" s="121">
        <v>2.7978081843791829</v>
      </c>
      <c r="J53" s="121">
        <v>1.5440457307169908</v>
      </c>
      <c r="K53" s="121">
        <v>0.72541881174656375</v>
      </c>
      <c r="L53" s="121">
        <v>1.0812515349217211</v>
      </c>
      <c r="M53" s="121">
        <v>21.346230465039991</v>
      </c>
      <c r="N53" s="121">
        <v>1.2060438844828998</v>
      </c>
      <c r="O53" s="121"/>
      <c r="P53" s="121">
        <f t="shared" si="0"/>
        <v>0.38646378295645906</v>
      </c>
      <c r="Q53" s="121">
        <f t="shared" si="1"/>
        <v>13.824869328920514</v>
      </c>
      <c r="R53" s="121">
        <f t="shared" si="2"/>
        <v>1.6625483995640422</v>
      </c>
      <c r="S53" s="121"/>
      <c r="T53" s="121">
        <f t="shared" si="3"/>
        <v>0.58937787036439793</v>
      </c>
      <c r="U53" s="121">
        <f t="shared" si="4"/>
        <v>0.25741363608861295</v>
      </c>
      <c r="V53" s="121">
        <f t="shared" si="5"/>
        <v>0.15320849354698912</v>
      </c>
    </row>
    <row r="54" spans="2:22" x14ac:dyDescent="0.3">
      <c r="B54" s="123">
        <v>0.32071561675249982</v>
      </c>
      <c r="C54" s="123">
        <v>0.49010000000000031</v>
      </c>
      <c r="D54" s="123">
        <v>0.18918438324749987</v>
      </c>
      <c r="E54" s="123">
        <v>0.85329317532354121</v>
      </c>
      <c r="F54" s="123">
        <v>3.3594511311918603E-2</v>
      </c>
      <c r="G54" s="123">
        <v>0.1131123133645402</v>
      </c>
      <c r="H54" s="121"/>
      <c r="I54" s="121">
        <v>2.8682446409376108</v>
      </c>
      <c r="J54" s="121">
        <v>1.515165814766418</v>
      </c>
      <c r="K54" s="121">
        <v>0.72957641234005133</v>
      </c>
      <c r="L54" s="121">
        <v>1.0780478218011826</v>
      </c>
      <c r="M54" s="121">
        <v>22.104288373844259</v>
      </c>
      <c r="N54" s="121">
        <v>1.2202426021970654</v>
      </c>
      <c r="O54" s="121"/>
      <c r="P54" s="121">
        <f t="shared" si="0"/>
        <v>0.37585630124241276</v>
      </c>
      <c r="Q54" s="121">
        <f t="shared" si="1"/>
        <v>14.588692642363977</v>
      </c>
      <c r="R54" s="121">
        <f t="shared" si="2"/>
        <v>1.6725357091565565</v>
      </c>
      <c r="S54" s="121"/>
      <c r="T54" s="121">
        <f t="shared" si="3"/>
        <v>0.58700439603802046</v>
      </c>
      <c r="U54" s="121">
        <f t="shared" si="4"/>
        <v>0.26184725565595945</v>
      </c>
      <c r="V54" s="121">
        <f t="shared" si="5"/>
        <v>0.15114834830602003</v>
      </c>
    </row>
    <row r="55" spans="2:22" x14ac:dyDescent="0.3">
      <c r="B55" s="123">
        <v>0.31298886393192915</v>
      </c>
      <c r="C55" s="123">
        <v>0.50010000000000032</v>
      </c>
      <c r="D55" s="123">
        <v>0.18691113606807053</v>
      </c>
      <c r="E55" s="123">
        <v>0.85653621572838934</v>
      </c>
      <c r="F55" s="123">
        <v>3.2437828936824092E-2</v>
      </c>
      <c r="G55" s="123">
        <v>0.11102595533478657</v>
      </c>
      <c r="H55" s="121"/>
      <c r="I55" s="121">
        <v>2.9412534951945148</v>
      </c>
      <c r="J55" s="121">
        <v>1.4876959483092247</v>
      </c>
      <c r="K55" s="121">
        <v>0.73383372348179221</v>
      </c>
      <c r="L55" s="121">
        <v>1.0747701884547822</v>
      </c>
      <c r="M55" s="121">
        <v>22.936083213166071</v>
      </c>
      <c r="N55" s="121">
        <v>1.2354020690697791</v>
      </c>
      <c r="O55" s="121"/>
      <c r="P55" s="121">
        <f t="shared" si="0"/>
        <v>0.36541229452366675</v>
      </c>
      <c r="Q55" s="121">
        <f t="shared" si="1"/>
        <v>15.417184700430937</v>
      </c>
      <c r="R55" s="121">
        <f t="shared" si="2"/>
        <v>1.6834904550423415</v>
      </c>
      <c r="S55" s="121"/>
      <c r="T55" s="121">
        <f t="shared" si="3"/>
        <v>0.58476253983015924</v>
      </c>
      <c r="U55" s="121">
        <f t="shared" si="4"/>
        <v>0.26626891446841222</v>
      </c>
      <c r="V55" s="121">
        <f t="shared" si="5"/>
        <v>0.14896854570142853</v>
      </c>
    </row>
    <row r="56" spans="2:22" x14ac:dyDescent="0.3">
      <c r="B56" s="123">
        <v>0.30538951079447602</v>
      </c>
      <c r="C56" s="123">
        <v>0.51010000000000033</v>
      </c>
      <c r="D56" s="123">
        <v>0.18451048920552365</v>
      </c>
      <c r="E56" s="123">
        <v>0.85990293160673836</v>
      </c>
      <c r="F56" s="123">
        <v>3.1265836351797756E-2</v>
      </c>
      <c r="G56" s="123">
        <v>0.10883123204146389</v>
      </c>
      <c r="H56" s="121"/>
      <c r="I56" s="121">
        <v>3.0169229161817692</v>
      </c>
      <c r="J56" s="121">
        <v>1.4615644934224379</v>
      </c>
      <c r="K56" s="121">
        <v>0.73818125140726565</v>
      </c>
      <c r="L56" s="121">
        <v>1.0714425775428706</v>
      </c>
      <c r="M56" s="121">
        <v>23.845325604153167</v>
      </c>
      <c r="N56" s="121">
        <v>1.2514990528418184</v>
      </c>
      <c r="O56" s="121"/>
      <c r="P56" s="121">
        <f t="shared" si="0"/>
        <v>0.3551441675211553</v>
      </c>
      <c r="Q56" s="121">
        <f t="shared" si="1"/>
        <v>16.314932191816133</v>
      </c>
      <c r="R56" s="121">
        <f t="shared" si="2"/>
        <v>1.6953817920137717</v>
      </c>
      <c r="S56" s="121"/>
      <c r="T56" s="121">
        <f t="shared" si="3"/>
        <v>0.58264622120060716</v>
      </c>
      <c r="U56" s="121">
        <f t="shared" si="4"/>
        <v>0.27068291817589907</v>
      </c>
      <c r="V56" s="121">
        <f t="shared" si="5"/>
        <v>0.14667086062349377</v>
      </c>
    </row>
    <row r="57" spans="2:22" x14ac:dyDescent="0.3">
      <c r="B57" s="123">
        <v>0.29792015393545146</v>
      </c>
      <c r="C57" s="123">
        <v>0.52010000000000034</v>
      </c>
      <c r="D57" s="123">
        <v>0.1819798460645482</v>
      </c>
      <c r="E57" s="123">
        <v>0.86337886689413423</v>
      </c>
      <c r="F57" s="123">
        <v>3.0086595997982545E-2</v>
      </c>
      <c r="G57" s="123">
        <v>0.10653453710788321</v>
      </c>
      <c r="H57" s="121"/>
      <c r="I57" s="121">
        <v>3.0953403349975739</v>
      </c>
      <c r="J57" s="121">
        <v>1.4367047645614506</v>
      </c>
      <c r="K57" s="121">
        <v>0.74260964926051831</v>
      </c>
      <c r="L57" s="121">
        <v>1.0680876084011943</v>
      </c>
      <c r="M57" s="121">
        <v>24.835981714199786</v>
      </c>
      <c r="N57" s="121">
        <v>1.2685087233413002</v>
      </c>
      <c r="O57" s="121"/>
      <c r="P57" s="121">
        <f t="shared" si="0"/>
        <v>0.34506306021500271</v>
      </c>
      <c r="Q57" s="121">
        <f t="shared" si="1"/>
        <v>17.286767836244273</v>
      </c>
      <c r="R57" s="121">
        <f t="shared" si="2"/>
        <v>1.708177000668474</v>
      </c>
      <c r="S57" s="121"/>
      <c r="T57" s="121">
        <f t="shared" si="3"/>
        <v>0.58064951041479285</v>
      </c>
      <c r="U57" s="121">
        <f t="shared" si="4"/>
        <v>0.27509329799899146</v>
      </c>
      <c r="V57" s="121">
        <f t="shared" si="5"/>
        <v>0.14425719158621569</v>
      </c>
    </row>
    <row r="58" spans="2:22" x14ac:dyDescent="0.3">
      <c r="B58" s="123">
        <v>0.2905833068055223</v>
      </c>
      <c r="C58" s="123">
        <v>0.53010000000000035</v>
      </c>
      <c r="D58" s="123">
        <v>0.17931669319447735</v>
      </c>
      <c r="E58" s="123">
        <v>0.86695023144974237</v>
      </c>
      <c r="F58" s="123">
        <v>2.8907481989234811E-2</v>
      </c>
      <c r="G58" s="123">
        <v>0.10414228656102281</v>
      </c>
      <c r="H58" s="121"/>
      <c r="I58" s="121">
        <v>3.17659202325836</v>
      </c>
      <c r="J58" s="121">
        <v>1.4130545295859243</v>
      </c>
      <c r="K58" s="121">
        <v>0.7471097074834061</v>
      </c>
      <c r="L58" s="121">
        <v>1.0647261872770715</v>
      </c>
      <c r="M58" s="121">
        <v>25.912329770280579</v>
      </c>
      <c r="N58" s="121">
        <v>1.2864058071254039</v>
      </c>
      <c r="O58" s="121"/>
      <c r="P58" s="121">
        <f t="shared" si="0"/>
        <v>0.33517876374471861</v>
      </c>
      <c r="Q58" s="121">
        <f t="shared" si="1"/>
        <v>18.337813033920089</v>
      </c>
      <c r="R58" s="121">
        <f t="shared" si="2"/>
        <v>1.7218432503823087</v>
      </c>
      <c r="S58" s="121"/>
      <c r="T58" s="121">
        <f t="shared" si="3"/>
        <v>0.57876676912763236</v>
      </c>
      <c r="U58" s="121">
        <f t="shared" si="4"/>
        <v>0.27950374099461756</v>
      </c>
      <c r="V58" s="121">
        <f t="shared" si="5"/>
        <v>0.14172948987775008</v>
      </c>
    </row>
    <row r="59" spans="2:22" x14ac:dyDescent="0.3">
      <c r="B59" s="123">
        <v>0.28338137593441243</v>
      </c>
      <c r="C59" s="123">
        <v>0.54010000000000036</v>
      </c>
      <c r="D59" s="123">
        <v>0.17651862406558722</v>
      </c>
      <c r="E59" s="123">
        <v>0.87060405032415322</v>
      </c>
      <c r="F59" s="123">
        <v>2.7735121291824708E-2</v>
      </c>
      <c r="G59" s="123">
        <v>0.10166082838402207</v>
      </c>
      <c r="H59" s="121"/>
      <c r="I59" s="121">
        <v>3.26076265355529</v>
      </c>
      <c r="J59" s="121">
        <v>1.3905555639679552</v>
      </c>
      <c r="K59" s="121">
        <v>0.75167234964377017</v>
      </c>
      <c r="L59" s="121">
        <v>1.0613773356740013</v>
      </c>
      <c r="M59" s="121">
        <v>27.078989566938422</v>
      </c>
      <c r="N59" s="121">
        <v>1.3051651360350234</v>
      </c>
      <c r="O59" s="121"/>
      <c r="P59" s="121">
        <f t="shared" si="0"/>
        <v>0.32549972151967432</v>
      </c>
      <c r="Q59" s="121">
        <f t="shared" si="1"/>
        <v>19.473504165247764</v>
      </c>
      <c r="R59" s="121">
        <f t="shared" si="2"/>
        <v>1.7363484723810343</v>
      </c>
      <c r="S59" s="121"/>
      <c r="T59" s="121">
        <f t="shared" si="3"/>
        <v>0.5769927131292828</v>
      </c>
      <c r="U59" s="121">
        <f t="shared" si="4"/>
        <v>0.28391756064591256</v>
      </c>
      <c r="V59" s="121">
        <f t="shared" si="5"/>
        <v>0.13908972622480464</v>
      </c>
    </row>
    <row r="60" spans="2:22" x14ac:dyDescent="0.3">
      <c r="B60" s="123">
        <v>0.27631663721519051</v>
      </c>
      <c r="C60" s="123">
        <v>0.55010000000000037</v>
      </c>
      <c r="D60" s="123">
        <v>0.17358336278480913</v>
      </c>
      <c r="E60" s="123">
        <v>0.87432825473080777</v>
      </c>
      <c r="F60" s="123">
        <v>2.6575368606911721E-2</v>
      </c>
      <c r="G60" s="123">
        <v>9.9096376662280508E-2</v>
      </c>
      <c r="H60" s="121"/>
      <c r="I60" s="121">
        <v>3.3479348476569211</v>
      </c>
      <c r="J60" s="121">
        <v>1.3691532523101355</v>
      </c>
      <c r="K60" s="121">
        <v>0.75628863341357599</v>
      </c>
      <c r="L60" s="121">
        <v>1.058058107712569</v>
      </c>
      <c r="M60" s="121">
        <v>28.340950420530429</v>
      </c>
      <c r="N60" s="121">
        <v>1.3247621017593241</v>
      </c>
      <c r="O60" s="121"/>
      <c r="P60" s="121">
        <f t="shared" si="0"/>
        <v>0.31603306392090025</v>
      </c>
      <c r="Q60" s="121">
        <f t="shared" si="1"/>
        <v>20.699618813826362</v>
      </c>
      <c r="R60" s="121">
        <f t="shared" si="2"/>
        <v>1.7516620549748205</v>
      </c>
      <c r="S60" s="121"/>
      <c r="T60" s="121">
        <f t="shared" si="3"/>
        <v>0.57532244597299909</v>
      </c>
      <c r="U60" s="121">
        <f t="shared" si="4"/>
        <v>0.28833768430345602</v>
      </c>
      <c r="V60" s="121">
        <f t="shared" si="5"/>
        <v>0.13633986972354481</v>
      </c>
    </row>
    <row r="61" spans="2:22" x14ac:dyDescent="0.3">
      <c r="B61" s="123">
        <v>0.26939121250075843</v>
      </c>
      <c r="C61" s="123">
        <v>0.56010000000000038</v>
      </c>
      <c r="D61" s="123">
        <v>0.1705087874992412</v>
      </c>
      <c r="E61" s="123">
        <v>0.87811172971050122</v>
      </c>
      <c r="F61" s="123">
        <v>2.5433306092304722E-2</v>
      </c>
      <c r="G61" s="123">
        <v>9.6454964197194057E-2</v>
      </c>
      <c r="H61" s="121"/>
      <c r="I61" s="121">
        <v>3.4381887188842657</v>
      </c>
      <c r="J61" s="121">
        <v>1.3487962322625346</v>
      </c>
      <c r="K61" s="121">
        <v>0.76094975631973749</v>
      </c>
      <c r="L61" s="121">
        <v>1.0547835730334909</v>
      </c>
      <c r="M61" s="121">
        <v>29.703600741030822</v>
      </c>
      <c r="N61" s="121">
        <v>1.3451730699174937</v>
      </c>
      <c r="O61" s="121"/>
      <c r="P61" s="121">
        <f t="shared" si="0"/>
        <v>0.30678466462299986</v>
      </c>
      <c r="Q61" s="121">
        <f t="shared" si="1"/>
        <v>22.022304059379373</v>
      </c>
      <c r="R61" s="121">
        <f t="shared" si="2"/>
        <v>1.7677554381820135</v>
      </c>
      <c r="S61" s="121"/>
      <c r="T61" s="121">
        <f t="shared" si="3"/>
        <v>0.57375147110562985</v>
      </c>
      <c r="U61" s="121">
        <f t="shared" si="4"/>
        <v>0.29276665304615257</v>
      </c>
      <c r="V61" s="121">
        <f t="shared" si="5"/>
        <v>0.13348187584821763</v>
      </c>
    </row>
    <row r="62" spans="2:22" x14ac:dyDescent="0.3">
      <c r="B62" s="123">
        <v>0.26260704684678049</v>
      </c>
      <c r="C62" s="123">
        <v>0.57010000000000038</v>
      </c>
      <c r="D62" s="123">
        <v>0.16729295315321913</v>
      </c>
      <c r="E62" s="123">
        <v>0.88194427482144433</v>
      </c>
      <c r="F62" s="123">
        <v>2.4313284357540394E-2</v>
      </c>
      <c r="G62" s="123">
        <v>9.374244082101528E-2</v>
      </c>
      <c r="H62" s="121"/>
      <c r="I62" s="121">
        <v>3.531601415644158</v>
      </c>
      <c r="J62" s="121">
        <v>1.3294360766867734</v>
      </c>
      <c r="K62" s="121">
        <v>0.76564706580528197</v>
      </c>
      <c r="L62" s="121">
        <v>1.0515669128755156</v>
      </c>
      <c r="M62" s="121">
        <v>31.172732411368983</v>
      </c>
      <c r="N62" s="121">
        <v>1.3663753321318255</v>
      </c>
      <c r="O62" s="121"/>
      <c r="P62" s="121">
        <f t="shared" si="0"/>
        <v>0.29775922849541381</v>
      </c>
      <c r="Q62" s="121">
        <f t="shared" si="1"/>
        <v>23.448086717383067</v>
      </c>
      <c r="R62" s="121">
        <f t="shared" si="2"/>
        <v>1.7846020616492762</v>
      </c>
      <c r="S62" s="121"/>
      <c r="T62" s="121">
        <f t="shared" si="3"/>
        <v>0.57227566083411241</v>
      </c>
      <c r="U62" s="121">
        <f t="shared" si="4"/>
        <v>0.29720664217877041</v>
      </c>
      <c r="V62" s="121">
        <f t="shared" si="5"/>
        <v>0.13051769698711721</v>
      </c>
    </row>
    <row r="63" spans="2:22" x14ac:dyDescent="0.3">
      <c r="B63" s="123">
        <v>0.25596588678814292</v>
      </c>
      <c r="C63" s="123">
        <v>0.58010000000000039</v>
      </c>
      <c r="D63" s="123">
        <v>0.16393411321185669</v>
      </c>
      <c r="E63" s="123">
        <v>0.88581658972029287</v>
      </c>
      <c r="F63" s="123">
        <v>2.3218954711310039E-2</v>
      </c>
      <c r="G63" s="123">
        <v>9.0964455568397093E-2</v>
      </c>
      <c r="H63" s="121"/>
      <c r="I63" s="121">
        <v>3.6282466735030292</v>
      </c>
      <c r="J63" s="121">
        <v>1.3110270105100439</v>
      </c>
      <c r="K63" s="121">
        <v>0.77037207306061328</v>
      </c>
      <c r="L63" s="121">
        <v>1.0484194900465602</v>
      </c>
      <c r="M63" s="121">
        <v>32.754565321858422</v>
      </c>
      <c r="N63" s="121">
        <v>1.3883473698736355</v>
      </c>
      <c r="O63" s="121"/>
      <c r="P63" s="121">
        <f t="shared" si="0"/>
        <v>0.28896036691858207</v>
      </c>
      <c r="Q63" s="121">
        <f t="shared" si="1"/>
        <v>24.983898164779639</v>
      </c>
      <c r="R63" s="121">
        <f t="shared" si="2"/>
        <v>1.8021776988330676</v>
      </c>
      <c r="S63" s="121"/>
      <c r="T63" s="121">
        <f t="shared" si="3"/>
        <v>0.57089123825421795</v>
      </c>
      <c r="U63" s="121">
        <f t="shared" si="4"/>
        <v>0.30165947735565524</v>
      </c>
      <c r="V63" s="121">
        <f t="shared" si="5"/>
        <v>0.1274492843901269</v>
      </c>
    </row>
    <row r="64" spans="2:22" x14ac:dyDescent="0.3">
      <c r="B64" s="123">
        <v>0.24946926006139167</v>
      </c>
      <c r="C64" s="123">
        <v>0.5901000000000004</v>
      </c>
      <c r="D64" s="123">
        <v>0.16043073993860793</v>
      </c>
      <c r="E64" s="123">
        <v>0.88972017806348402</v>
      </c>
      <c r="F64" s="123">
        <v>2.2153337015147604E-2</v>
      </c>
      <c r="G64" s="123">
        <v>8.8126484921368375E-2</v>
      </c>
      <c r="H64" s="121"/>
      <c r="I64" s="121">
        <v>3.7281943833818989</v>
      </c>
      <c r="J64" s="121">
        <v>1.293525659172873</v>
      </c>
      <c r="K64" s="121">
        <v>0.77511647001738093</v>
      </c>
      <c r="L64" s="121">
        <v>1.0453510183523742</v>
      </c>
      <c r="M64" s="121">
        <v>34.455734183793219</v>
      </c>
      <c r="N64" s="121">
        <v>1.4110685219595973</v>
      </c>
      <c r="O64" s="121"/>
      <c r="P64" s="121">
        <f t="shared" si="0"/>
        <v>0.28039069609994993</v>
      </c>
      <c r="Q64" s="121">
        <f t="shared" si="1"/>
        <v>26.63707050529284</v>
      </c>
      <c r="R64" s="121">
        <f t="shared" si="2"/>
        <v>1.8204599909068615</v>
      </c>
      <c r="S64" s="121"/>
      <c r="T64" s="121">
        <f t="shared" si="3"/>
        <v>0.56959471906243786</v>
      </c>
      <c r="U64" s="121">
        <f t="shared" si="4"/>
        <v>0.30612666850757403</v>
      </c>
      <c r="V64" s="121">
        <f t="shared" si="5"/>
        <v>0.12427861242998815</v>
      </c>
    </row>
    <row r="65" spans="2:22" x14ac:dyDescent="0.3">
      <c r="B65" s="123">
        <v>0.24311845718622455</v>
      </c>
      <c r="C65" s="123">
        <v>0.60010000000000041</v>
      </c>
      <c r="D65" s="123">
        <v>0.15678154281377504</v>
      </c>
      <c r="E65" s="123">
        <v>0.89364731594966074</v>
      </c>
      <c r="F65" s="123">
        <v>2.111886023795078E-2</v>
      </c>
      <c r="G65" s="123">
        <v>8.5233823812388476E-2</v>
      </c>
      <c r="H65" s="121"/>
      <c r="I65" s="121">
        <v>3.8315101834260479</v>
      </c>
      <c r="J65" s="121">
        <v>1.2768908259280165</v>
      </c>
      <c r="K65" s="121">
        <v>0.77987214884355105</v>
      </c>
      <c r="L65" s="121">
        <v>1.042369655078023</v>
      </c>
      <c r="M65" s="121">
        <v>36.28331150477635</v>
      </c>
      <c r="N65" s="121">
        <v>1.4345192228183774</v>
      </c>
      <c r="O65" s="121"/>
      <c r="P65" s="121">
        <f t="shared" si="0"/>
        <v>0.27205190777960042</v>
      </c>
      <c r="Q65" s="121">
        <f t="shared" si="1"/>
        <v>28.415359221025355</v>
      </c>
      <c r="R65" s="121">
        <f t="shared" si="2"/>
        <v>1.8394287127006419</v>
      </c>
      <c r="S65" s="121"/>
      <c r="T65" s="121">
        <f t="shared" si="3"/>
        <v>0.56838288656794267</v>
      </c>
      <c r="U65" s="121">
        <f t="shared" si="4"/>
        <v>0.31060943011897557</v>
      </c>
      <c r="V65" s="121">
        <f t="shared" si="5"/>
        <v>0.12100768331308176</v>
      </c>
    </row>
    <row r="66" spans="2:22" x14ac:dyDescent="0.3">
      <c r="B66" s="123">
        <v>0.23691451529765922</v>
      </c>
      <c r="C66" s="123">
        <v>0.61010000000000042</v>
      </c>
      <c r="D66" s="123">
        <v>0.15298548470234036</v>
      </c>
      <c r="E66" s="123">
        <v>0.89759095678024148</v>
      </c>
      <c r="F66" s="123">
        <v>2.0117429382913114E-2</v>
      </c>
      <c r="G66" s="123">
        <v>8.2291613836845412E-2</v>
      </c>
      <c r="H66" s="121"/>
      <c r="I66" s="121">
        <v>3.938255081833359</v>
      </c>
      <c r="J66" s="121">
        <v>1.2610832955149773</v>
      </c>
      <c r="K66" s="121">
        <v>0.78463122324028567</v>
      </c>
      <c r="L66" s="121">
        <v>1.0394821681113802</v>
      </c>
      <c r="M66" s="121">
        <v>38.244792808725983</v>
      </c>
      <c r="N66" s="121">
        <v>1.4586806893591333</v>
      </c>
      <c r="O66" s="121"/>
      <c r="P66" s="121">
        <f t="shared" si="0"/>
        <v>0.26394485540217333</v>
      </c>
      <c r="Q66" s="121">
        <f t="shared" si="1"/>
        <v>30.32693632906167</v>
      </c>
      <c r="R66" s="121">
        <f t="shared" si="2"/>
        <v>1.8590653113895104</v>
      </c>
      <c r="S66" s="121"/>
      <c r="T66" s="121">
        <f t="shared" si="3"/>
        <v>0.56725273603895032</v>
      </c>
      <c r="U66" s="121">
        <f t="shared" si="4"/>
        <v>0.31510871469145679</v>
      </c>
      <c r="V66" s="121">
        <f t="shared" si="5"/>
        <v>0.11763854926959288</v>
      </c>
    </row>
    <row r="67" spans="2:22" x14ac:dyDescent="0.3">
      <c r="B67" s="123">
        <v>0.23085820457987002</v>
      </c>
      <c r="C67" s="123">
        <v>0.62010000000000043</v>
      </c>
      <c r="D67" s="123">
        <v>0.14904179542012955</v>
      </c>
      <c r="E67" s="123">
        <v>0.90154468497441953</v>
      </c>
      <c r="F67" s="123">
        <v>1.9150471281480751E-2</v>
      </c>
      <c r="G67" s="123">
        <v>7.9304843744099712E-2</v>
      </c>
      <c r="H67" s="121"/>
      <c r="I67" s="121">
        <v>4.0484851174088377</v>
      </c>
      <c r="J67" s="121">
        <v>1.246065661933657</v>
      </c>
      <c r="K67" s="121">
        <v>0.7893860508211461</v>
      </c>
      <c r="L67" s="121">
        <v>1.0366940441780184</v>
      </c>
      <c r="M67" s="121">
        <v>40.348109746639906</v>
      </c>
      <c r="N67" s="121">
        <v>1.4835350369471287</v>
      </c>
      <c r="O67" s="121"/>
      <c r="P67" s="121">
        <f t="shared" si="0"/>
        <v>0.25606961965109959</v>
      </c>
      <c r="Q67" s="121">
        <f t="shared" si="1"/>
        <v>32.380404162672548</v>
      </c>
      <c r="R67" s="121">
        <f t="shared" si="2"/>
        <v>1.8793529926249715</v>
      </c>
      <c r="S67" s="121"/>
      <c r="T67" s="121">
        <f t="shared" si="3"/>
        <v>0.56620144477714474</v>
      </c>
      <c r="U67" s="121">
        <f t="shared" si="4"/>
        <v>0.31962523564074058</v>
      </c>
      <c r="V67" s="121">
        <f t="shared" si="5"/>
        <v>0.11417331958211463</v>
      </c>
    </row>
    <row r="68" spans="2:22" x14ac:dyDescent="0.3">
      <c r="B68" s="123">
        <v>0.22495001759589606</v>
      </c>
      <c r="C68" s="123">
        <v>0.63010000000000044</v>
      </c>
      <c r="D68" s="123">
        <v>0.14494998240410351</v>
      </c>
      <c r="E68" s="123">
        <v>0.90550262203561283</v>
      </c>
      <c r="F68" s="123">
        <v>1.8218999146736196E-2</v>
      </c>
      <c r="G68" s="123">
        <v>7.6278378817650982E-2</v>
      </c>
      <c r="H68" s="121"/>
      <c r="I68" s="121">
        <v>4.1622510638598049</v>
      </c>
      <c r="J68" s="121">
        <v>1.2318021781875144</v>
      </c>
      <c r="K68" s="121">
        <v>0.7941292558536075</v>
      </c>
      <c r="L68" s="121">
        <v>1.0340096508488918</v>
      </c>
      <c r="M68" s="121">
        <v>42.601602109136529</v>
      </c>
      <c r="N68" s="121">
        <v>1.5090648680111665</v>
      </c>
      <c r="O68" s="121"/>
      <c r="P68" s="121">
        <f t="shared" si="0"/>
        <v>0.24842558389306235</v>
      </c>
      <c r="Q68" s="121">
        <f t="shared" si="1"/>
        <v>34.584775756624282</v>
      </c>
      <c r="R68" s="121">
        <f t="shared" si="2"/>
        <v>1.9002761287129213</v>
      </c>
      <c r="S68" s="121"/>
      <c r="T68" s="121">
        <f t="shared" si="3"/>
        <v>0.56522631981575444</v>
      </c>
      <c r="U68" s="121">
        <f t="shared" si="4"/>
        <v>0.32415949957336831</v>
      </c>
      <c r="V68" s="121">
        <f t="shared" si="5"/>
        <v>0.11061418061087724</v>
      </c>
    </row>
    <row r="69" spans="2:22" x14ac:dyDescent="0.3">
      <c r="B69" s="123">
        <v>0.21919016173784303</v>
      </c>
      <c r="C69" s="123">
        <v>0.64010000000000045</v>
      </c>
      <c r="D69" s="123">
        <v>0.14070983826215652</v>
      </c>
      <c r="E69" s="123">
        <v>0.90945939645875629</v>
      </c>
      <c r="F69" s="123">
        <v>1.7323649942737263E-2</v>
      </c>
      <c r="G69" s="123">
        <v>7.3216953598506454E-2</v>
      </c>
      <c r="H69" s="121"/>
      <c r="I69" s="121">
        <v>4.2795981828802931</v>
      </c>
      <c r="J69" s="121">
        <v>1.2182586259750201</v>
      </c>
      <c r="K69" s="121">
        <v>0.79885375166242378</v>
      </c>
      <c r="L69" s="121">
        <v>1.0314323229064033</v>
      </c>
      <c r="M69" s="121">
        <v>45.014032785483288</v>
      </c>
      <c r="N69" s="121">
        <v>1.535253471592537</v>
      </c>
      <c r="O69" s="121"/>
      <c r="P69" s="121">
        <f t="shared" si="0"/>
        <v>0.24101148725421218</v>
      </c>
      <c r="Q69" s="121">
        <f t="shared" si="1"/>
        <v>36.949488249637305</v>
      </c>
      <c r="R69" s="121">
        <f t="shared" si="2"/>
        <v>1.9218204438517754</v>
      </c>
      <c r="S69" s="121"/>
      <c r="T69" s="121">
        <f t="shared" si="3"/>
        <v>0.5643247790982997</v>
      </c>
      <c r="U69" s="121">
        <f t="shared" si="4"/>
        <v>0.32871182497136886</v>
      </c>
      <c r="V69" s="121">
        <f t="shared" si="5"/>
        <v>0.1069633959303315</v>
      </c>
    </row>
    <row r="70" spans="2:22" x14ac:dyDescent="0.3">
      <c r="B70" s="123">
        <v>0.21357855494345507</v>
      </c>
      <c r="C70" s="123">
        <v>0.65010000000000046</v>
      </c>
      <c r="D70" s="123">
        <v>0.13632144505654448</v>
      </c>
      <c r="E70" s="123">
        <v>0.91341007469170554</v>
      </c>
      <c r="F70" s="123">
        <v>1.6464736761546875E-2</v>
      </c>
      <c r="G70" s="123">
        <v>7.0125188546747583E-2</v>
      </c>
      <c r="H70" s="121"/>
      <c r="I70" s="121">
        <v>4.4005660299318263</v>
      </c>
      <c r="J70" s="121">
        <v>1.205402203390441</v>
      </c>
      <c r="K70" s="121">
        <v>0.80355276203389048</v>
      </c>
      <c r="L70" s="121">
        <v>1.0289644921240011</v>
      </c>
      <c r="M70" s="121">
        <v>47.594564296605455</v>
      </c>
      <c r="N70" s="121">
        <v>1.5620845514962685</v>
      </c>
      <c r="O70" s="121"/>
      <c r="P70" s="121">
        <f t="shared" ref="P70:P92" si="6">B70/E70</f>
        <v>0.23382548634088821</v>
      </c>
      <c r="Q70" s="121">
        <f t="shared" ref="Q70:Q92" si="7">C70/F70</f>
        <v>39.484384683167143</v>
      </c>
      <c r="R70" s="121">
        <f t="shared" ref="R70:R92" si="8">D70/G70</f>
        <v>1.9439725993131336</v>
      </c>
      <c r="S70" s="121"/>
      <c r="T70" s="121">
        <f t="shared" ref="T70:T92" si="9">(B70*0.5)+(E70*0.5)</f>
        <v>0.56349431481758028</v>
      </c>
      <c r="U70" s="121">
        <f t="shared" ref="U70:U92" si="10">(C70*0.5)+(F70*0.5)</f>
        <v>0.33328236838077369</v>
      </c>
      <c r="V70" s="121">
        <f t="shared" ref="V70:V92" si="11">(D70*0.5)+(G70*0.5)</f>
        <v>0.10322331680164604</v>
      </c>
    </row>
    <row r="71" spans="2:22" x14ac:dyDescent="0.3">
      <c r="B71" s="123">
        <v>0.20811482474091231</v>
      </c>
      <c r="C71" s="123">
        <v>0.66010000000000046</v>
      </c>
      <c r="D71" s="123">
        <v>0.13178517525908723</v>
      </c>
      <c r="E71" s="123">
        <v>0.91735011940510147</v>
      </c>
      <c r="F71" s="123">
        <v>1.5642289044032413E-2</v>
      </c>
      <c r="G71" s="123">
        <v>6.7007591550866108E-2</v>
      </c>
      <c r="H71" s="121"/>
      <c r="I71" s="121">
        <v>4.5251883153580703</v>
      </c>
      <c r="J71" s="121">
        <v>1.193201428762368</v>
      </c>
      <c r="K71" s="121">
        <v>0.80821984101822331</v>
      </c>
      <c r="L71" s="121">
        <v>1.0266077839299748</v>
      </c>
      <c r="M71" s="121">
        <v>50.352749582167071</v>
      </c>
      <c r="N71" s="121">
        <v>1.5895421836733872</v>
      </c>
      <c r="O71" s="121"/>
      <c r="P71" s="121">
        <f t="shared" si="6"/>
        <v>0.22686520701155419</v>
      </c>
      <c r="Q71" s="121">
        <f t="shared" si="7"/>
        <v>42.199706075104835</v>
      </c>
      <c r="R71" s="121">
        <f t="shared" si="8"/>
        <v>1.9667200716958739</v>
      </c>
      <c r="S71" s="121"/>
      <c r="T71" s="121">
        <f t="shared" si="9"/>
        <v>0.56273247207300692</v>
      </c>
      <c r="U71" s="121">
        <f t="shared" si="10"/>
        <v>0.33787114452201644</v>
      </c>
      <c r="V71" s="121">
        <f t="shared" si="11"/>
        <v>9.9396383404976668E-2</v>
      </c>
    </row>
    <row r="72" spans="2:22" x14ac:dyDescent="0.3">
      <c r="B72" s="123">
        <v>0.20279831059836723</v>
      </c>
      <c r="C72" s="123">
        <v>0.67010000000000047</v>
      </c>
      <c r="D72" s="123">
        <v>0.1271016894016323</v>
      </c>
      <c r="E72" s="123">
        <v>0.92127534691003388</v>
      </c>
      <c r="F72" s="123">
        <v>1.4856092170549343E-2</v>
      </c>
      <c r="G72" s="123">
        <v>6.3868560919416784E-2</v>
      </c>
      <c r="H72" s="121"/>
      <c r="I72" s="121">
        <v>4.6534928221286629</v>
      </c>
      <c r="J72" s="121">
        <v>1.1816260588192595</v>
      </c>
      <c r="K72" s="121">
        <v>0.81284889060168664</v>
      </c>
      <c r="L72" s="121">
        <v>1.0243631134541571</v>
      </c>
      <c r="M72" s="121">
        <v>53.298513022453015</v>
      </c>
      <c r="N72" s="121">
        <v>1.6176106950972213</v>
      </c>
      <c r="O72" s="121"/>
      <c r="P72" s="121">
        <f t="shared" si="6"/>
        <v>0.22012779488624618</v>
      </c>
      <c r="Q72" s="121">
        <f t="shared" si="7"/>
        <v>45.106074484944564</v>
      </c>
      <c r="R72" s="121">
        <f t="shared" si="8"/>
        <v>1.9900509354202767</v>
      </c>
      <c r="S72" s="121"/>
      <c r="T72" s="121">
        <f t="shared" si="9"/>
        <v>0.56203682875420058</v>
      </c>
      <c r="U72" s="121">
        <f t="shared" si="10"/>
        <v>0.34247804608527493</v>
      </c>
      <c r="V72" s="121">
        <f t="shared" si="11"/>
        <v>9.5485125160524542E-2</v>
      </c>
    </row>
    <row r="73" spans="2:22" x14ac:dyDescent="0.3">
      <c r="B73" s="123">
        <v>0.19762806947198303</v>
      </c>
      <c r="C73" s="123">
        <v>0.68010000000000048</v>
      </c>
      <c r="D73" s="123">
        <v>0.12227193052801649</v>
      </c>
      <c r="E73" s="123">
        <v>0.92518190431453573</v>
      </c>
      <c r="F73" s="123">
        <v>1.4105718118257187E-2</v>
      </c>
      <c r="G73" s="123">
        <v>6.0712377567207085E-2</v>
      </c>
      <c r="H73" s="121"/>
      <c r="I73" s="121">
        <v>4.7855013801502526</v>
      </c>
      <c r="J73" s="121">
        <v>1.1706470194338736</v>
      </c>
      <c r="K73" s="121">
        <v>0.8174341758078133</v>
      </c>
      <c r="L73" s="121">
        <v>1.0222307578695105</v>
      </c>
      <c r="M73" s="121">
        <v>56.442148584161991</v>
      </c>
      <c r="N73" s="121">
        <v>1.6462747591289468</v>
      </c>
      <c r="O73" s="121"/>
      <c r="P73" s="121">
        <f t="shared" si="6"/>
        <v>0.21360995989043369</v>
      </c>
      <c r="Q73" s="121">
        <f t="shared" si="7"/>
        <v>48.214489634507835</v>
      </c>
      <c r="R73" s="121">
        <f t="shared" si="8"/>
        <v>2.0139539156190107</v>
      </c>
      <c r="S73" s="121"/>
      <c r="T73" s="121">
        <f t="shared" si="9"/>
        <v>0.56140498689325935</v>
      </c>
      <c r="U73" s="121">
        <f t="shared" si="10"/>
        <v>0.34710285905912885</v>
      </c>
      <c r="V73" s="121">
        <f t="shared" si="11"/>
        <v>9.1492154047611796E-2</v>
      </c>
    </row>
    <row r="74" spans="2:22" x14ac:dyDescent="0.3">
      <c r="B74" s="123">
        <v>0.19260288436954004</v>
      </c>
      <c r="C74" s="123">
        <v>0.69010000000000049</v>
      </c>
      <c r="D74" s="123">
        <v>0.11729711563045947</v>
      </c>
      <c r="E74" s="123">
        <v>0.9290662225134918</v>
      </c>
      <c r="F74" s="123">
        <v>1.3390564764055221E-2</v>
      </c>
      <c r="G74" s="123">
        <v>5.7543212722452976E-2</v>
      </c>
      <c r="H74" s="121"/>
      <c r="I74" s="121">
        <v>4.9212298957712113</v>
      </c>
      <c r="J74" s="121">
        <v>1.1602363472679034</v>
      </c>
      <c r="K74" s="121">
        <v>0.82197033688418453</v>
      </c>
      <c r="L74" s="121">
        <v>1.0202104538973076</v>
      </c>
      <c r="M74" s="121">
        <v>59.794274353451662</v>
      </c>
      <c r="N74" s="121">
        <v>1.6755190593084752</v>
      </c>
      <c r="O74" s="121"/>
      <c r="P74" s="121">
        <f t="shared" si="6"/>
        <v>0.20730802573843771</v>
      </c>
      <c r="Q74" s="121">
        <f t="shared" si="7"/>
        <v>51.536287838468247</v>
      </c>
      <c r="R74" s="121">
        <f t="shared" si="8"/>
        <v>2.0384179137896989</v>
      </c>
      <c r="S74" s="121"/>
      <c r="T74" s="121">
        <f t="shared" si="9"/>
        <v>0.56083455344151589</v>
      </c>
      <c r="U74" s="121">
        <f t="shared" si="10"/>
        <v>0.35174528238202785</v>
      </c>
      <c r="V74" s="121">
        <f t="shared" si="11"/>
        <v>8.7420164176456219E-2</v>
      </c>
    </row>
    <row r="75" spans="2:22" x14ac:dyDescent="0.3">
      <c r="B75" s="123">
        <v>0.18772127567947922</v>
      </c>
      <c r="C75" s="123">
        <v>0.7001000000000005</v>
      </c>
      <c r="D75" s="123">
        <v>0.11217872432052028</v>
      </c>
      <c r="E75" s="123">
        <v>0.93292501244017711</v>
      </c>
      <c r="F75" s="123">
        <v>1.2709876750912685E-2</v>
      </c>
      <c r="G75" s="123">
        <v>5.4365110808910197E-2</v>
      </c>
      <c r="H75" s="121"/>
      <c r="I75" s="121">
        <v>5.060688433886253</v>
      </c>
      <c r="J75" s="121">
        <v>1.1503671407186593</v>
      </c>
      <c r="K75" s="121">
        <v>0.82645239833284845</v>
      </c>
      <c r="L75" s="121">
        <v>1.0183014454084336</v>
      </c>
      <c r="M75" s="121">
        <v>63.36584146335651</v>
      </c>
      <c r="N75" s="121">
        <v>1.7053285531318823</v>
      </c>
      <c r="O75" s="121"/>
      <c r="P75" s="121">
        <f t="shared" si="6"/>
        <v>0.20121796840720535</v>
      </c>
      <c r="Q75" s="121">
        <f t="shared" si="7"/>
        <v>55.083146258654864</v>
      </c>
      <c r="R75" s="121">
        <f t="shared" si="8"/>
        <v>2.0634322757994763</v>
      </c>
      <c r="S75" s="121"/>
      <c r="T75" s="121">
        <f t="shared" si="9"/>
        <v>0.56032314405982819</v>
      </c>
      <c r="U75" s="121">
        <f t="shared" si="10"/>
        <v>0.35640493837545661</v>
      </c>
      <c r="V75" s="121">
        <f t="shared" si="11"/>
        <v>8.3271917564715248E-2</v>
      </c>
    </row>
    <row r="76" spans="2:22" x14ac:dyDescent="0.3">
      <c r="B76" s="123">
        <v>0.18298151495878667</v>
      </c>
      <c r="C76" s="123">
        <v>0.71010000000000051</v>
      </c>
      <c r="D76" s="123">
        <v>0.10691848504121282</v>
      </c>
      <c r="E76" s="123">
        <v>0.93675522696835145</v>
      </c>
      <c r="F76" s="123">
        <v>1.2062778998553021E-2</v>
      </c>
      <c r="G76" s="123">
        <v>5.1181994033095528E-2</v>
      </c>
      <c r="H76" s="121"/>
      <c r="I76" s="121">
        <v>5.2038813489901798</v>
      </c>
      <c r="J76" s="121">
        <v>1.1410135186615324</v>
      </c>
      <c r="K76" s="121">
        <v>0.83087577464725049</v>
      </c>
      <c r="L76" s="121">
        <v>1.0165025670427015</v>
      </c>
      <c r="M76" s="121">
        <v>67.168079569288764</v>
      </c>
      <c r="N76" s="121">
        <v>1.7356881215937907</v>
      </c>
      <c r="O76" s="121"/>
      <c r="P76" s="121">
        <f t="shared" si="6"/>
        <v>0.19533546191247328</v>
      </c>
      <c r="Q76" s="121">
        <f t="shared" si="7"/>
        <v>58.867032222440606</v>
      </c>
      <c r="R76" s="121">
        <f t="shared" si="8"/>
        <v>2.0889863136648548</v>
      </c>
      <c r="S76" s="121"/>
      <c r="T76" s="121">
        <f t="shared" si="9"/>
        <v>0.55986837096356901</v>
      </c>
      <c r="U76" s="121">
        <f t="shared" si="10"/>
        <v>0.36108138949927676</v>
      </c>
      <c r="V76" s="121">
        <f t="shared" si="11"/>
        <v>7.9050239537154177E-2</v>
      </c>
    </row>
    <row r="77" spans="2:22" x14ac:dyDescent="0.3">
      <c r="B77" s="123">
        <v>0.17838164083210367</v>
      </c>
      <c r="C77" s="123">
        <v>0.72010000000000052</v>
      </c>
      <c r="D77" s="123">
        <v>0.10151835916789581</v>
      </c>
      <c r="E77" s="123">
        <v>0.9405540606449394</v>
      </c>
      <c r="F77" s="123">
        <v>1.1448293819877373E-2</v>
      </c>
      <c r="G77" s="123">
        <v>4.7997645535183223E-2</v>
      </c>
      <c r="H77" s="121"/>
      <c r="I77" s="121">
        <v>5.3508074606031384</v>
      </c>
      <c r="J77" s="121">
        <v>1.132150585590922</v>
      </c>
      <c r="K77" s="121">
        <v>0.8352362727140733</v>
      </c>
      <c r="L77" s="121">
        <v>1.0148122840962031</v>
      </c>
      <c r="M77" s="121">
        <v>71.212501138685496</v>
      </c>
      <c r="N77" s="121">
        <v>1.7665828183444554</v>
      </c>
      <c r="O77" s="121"/>
      <c r="P77" s="121">
        <f t="shared" si="6"/>
        <v>0.18965591484426433</v>
      </c>
      <c r="Q77" s="121">
        <f t="shared" si="7"/>
        <v>62.900202539325967</v>
      </c>
      <c r="R77" s="121">
        <f t="shared" si="8"/>
        <v>2.1150695630159784</v>
      </c>
      <c r="S77" s="121"/>
      <c r="T77" s="121">
        <f t="shared" si="9"/>
        <v>0.55946785073852157</v>
      </c>
      <c r="U77" s="121">
        <f t="shared" si="10"/>
        <v>0.36577414690993892</v>
      </c>
      <c r="V77" s="121">
        <f t="shared" si="11"/>
        <v>7.475800235153951E-2</v>
      </c>
    </row>
    <row r="78" spans="2:22" x14ac:dyDescent="0.3">
      <c r="B78" s="123">
        <v>0.17391947662399532</v>
      </c>
      <c r="C78" s="123">
        <v>0.73010000000000053</v>
      </c>
      <c r="D78" s="123">
        <v>9.5980523376004157E-2</v>
      </c>
      <c r="E78" s="123">
        <v>0.94431892716733978</v>
      </c>
      <c r="F78" s="123">
        <v>1.0865365711084568E-2</v>
      </c>
      <c r="G78" s="123">
        <v>4.4815707121575649E-2</v>
      </c>
      <c r="H78" s="121"/>
      <c r="I78" s="121">
        <v>5.5014602678443563</v>
      </c>
      <c r="J78" s="121">
        <v>1.1237544018762047</v>
      </c>
      <c r="K78" s="121">
        <v>0.839530090936494</v>
      </c>
      <c r="L78" s="121">
        <v>1.0132287545282275</v>
      </c>
      <c r="M78" s="121">
        <v>75.510858136400543</v>
      </c>
      <c r="N78" s="121">
        <v>1.7979976819153161</v>
      </c>
      <c r="O78" s="121"/>
      <c r="P78" s="121">
        <f t="shared" si="6"/>
        <v>0.18417451098401588</v>
      </c>
      <c r="Q78" s="121">
        <f t="shared" si="7"/>
        <v>67.195161158282161</v>
      </c>
      <c r="R78" s="121">
        <f t="shared" si="8"/>
        <v>2.141671515204012</v>
      </c>
      <c r="S78" s="121"/>
      <c r="T78" s="121">
        <f t="shared" si="9"/>
        <v>0.55911920189566755</v>
      </c>
      <c r="U78" s="121">
        <f t="shared" si="10"/>
        <v>0.37048268285554253</v>
      </c>
      <c r="V78" s="121">
        <f t="shared" si="11"/>
        <v>7.0398115248789903E-2</v>
      </c>
    </row>
    <row r="79" spans="2:22" x14ac:dyDescent="0.3">
      <c r="B79" s="123">
        <v>0.16959264933386686</v>
      </c>
      <c r="C79" s="123">
        <v>0.74010000000000054</v>
      </c>
      <c r="D79" s="123">
        <v>9.0307350666132602E-2</v>
      </c>
      <c r="E79" s="123">
        <v>0.94804745090007592</v>
      </c>
      <c r="F79" s="123">
        <v>1.0312879174919047E-2</v>
      </c>
      <c r="G79" s="123">
        <v>4.1639669925005035E-2</v>
      </c>
      <c r="H79" s="121"/>
      <c r="I79" s="121">
        <v>5.6558281974123474</v>
      </c>
      <c r="J79" s="121">
        <v>1.1158019579806062</v>
      </c>
      <c r="K79" s="121">
        <v>0.84375381521275683</v>
      </c>
      <c r="L79" s="121">
        <v>1.0117498731373591</v>
      </c>
      <c r="M79" s="121">
        <v>80.075119187841111</v>
      </c>
      <c r="N79" s="121">
        <v>1.829917763602366</v>
      </c>
      <c r="O79" s="121"/>
      <c r="P79" s="121">
        <f t="shared" si="6"/>
        <v>0.17888624580220711</v>
      </c>
      <c r="Q79" s="121">
        <f t="shared" si="7"/>
        <v>71.764634050976369</v>
      </c>
      <c r="R79" s="121">
        <f t="shared" si="8"/>
        <v>2.1687816168759335</v>
      </c>
      <c r="S79" s="121"/>
      <c r="T79" s="121">
        <f t="shared" si="9"/>
        <v>0.55882005011697133</v>
      </c>
      <c r="U79" s="121">
        <f t="shared" si="10"/>
        <v>0.37520643958745981</v>
      </c>
      <c r="V79" s="121">
        <f t="shared" si="11"/>
        <v>6.5973510295568819E-2</v>
      </c>
    </row>
    <row r="80" spans="2:22" x14ac:dyDescent="0.3">
      <c r="B80" s="123">
        <v>0.16539860956125177</v>
      </c>
      <c r="C80" s="123">
        <v>0.75010000000000054</v>
      </c>
      <c r="D80" s="123">
        <v>8.4501390438747687E-2</v>
      </c>
      <c r="E80" s="123">
        <v>0.95173745766672613</v>
      </c>
      <c r="F80" s="123">
        <v>9.7896754549458981E-3</v>
      </c>
      <c r="G80" s="123">
        <v>3.8472866878327974E-2</v>
      </c>
      <c r="H80" s="121"/>
      <c r="I80" s="121">
        <v>5.8138948789838398</v>
      </c>
      <c r="J80" s="121">
        <v>1.1082711516232295</v>
      </c>
      <c r="K80" s="121">
        <v>0.84790441197639477</v>
      </c>
      <c r="L80" s="121">
        <v>1.0103733139564424</v>
      </c>
      <c r="M80" s="121">
        <v>84.917441304205056</v>
      </c>
      <c r="N80" s="121">
        <v>1.862328118092865</v>
      </c>
      <c r="O80" s="121"/>
      <c r="P80" s="121">
        <f t="shared" si="6"/>
        <v>0.1737859619046013</v>
      </c>
      <c r="Q80" s="121">
        <f t="shared" si="7"/>
        <v>76.621539033864323</v>
      </c>
      <c r="R80" s="121">
        <f t="shared" si="8"/>
        <v>2.196389229479228</v>
      </c>
      <c r="S80" s="121"/>
      <c r="T80" s="121">
        <f t="shared" si="9"/>
        <v>0.55856803361398899</v>
      </c>
      <c r="U80" s="121">
        <f t="shared" si="10"/>
        <v>0.37994483772747323</v>
      </c>
      <c r="V80" s="121">
        <f t="shared" si="11"/>
        <v>6.148712865853783E-2</v>
      </c>
    </row>
    <row r="81" spans="2:22" x14ac:dyDescent="0.3">
      <c r="B81" s="123">
        <v>0.16133465200092934</v>
      </c>
      <c r="C81" s="123">
        <v>0.76010000000000055</v>
      </c>
      <c r="D81" s="123">
        <v>7.8565347999070112E-2</v>
      </c>
      <c r="E81" s="123">
        <v>0.95538696686629176</v>
      </c>
      <c r="F81" s="123">
        <v>9.294567321392647E-3</v>
      </c>
      <c r="G81" s="123">
        <v>3.531846581231559E-2</v>
      </c>
      <c r="H81" s="121"/>
      <c r="I81" s="121">
        <v>5.9756394419664876</v>
      </c>
      <c r="J81" s="121">
        <v>1.1011407670024376</v>
      </c>
      <c r="K81" s="121">
        <v>0.85197921855928382</v>
      </c>
      <c r="L81" s="121">
        <v>1.0090965684982127</v>
      </c>
      <c r="M81" s="121">
        <v>90.05014091103979</v>
      </c>
      <c r="N81" s="121">
        <v>1.8952137997666125</v>
      </c>
      <c r="O81" s="121"/>
      <c r="P81" s="121">
        <f t="shared" si="6"/>
        <v>0.16886838275606122</v>
      </c>
      <c r="Q81" s="121">
        <f t="shared" si="7"/>
        <v>81.778954707287156</v>
      </c>
      <c r="R81" s="121">
        <f t="shared" si="8"/>
        <v>2.2244836006346085</v>
      </c>
      <c r="S81" s="121"/>
      <c r="T81" s="121">
        <f t="shared" si="9"/>
        <v>0.55836080943361055</v>
      </c>
      <c r="U81" s="121">
        <f t="shared" si="10"/>
        <v>0.38469728366069661</v>
      </c>
      <c r="V81" s="121">
        <f t="shared" si="11"/>
        <v>5.6941906905692855E-2</v>
      </c>
    </row>
    <row r="82" spans="2:22" x14ac:dyDescent="0.3">
      <c r="B82" s="123">
        <v>0.15739793614932018</v>
      </c>
      <c r="C82" s="123">
        <v>0.77010000000000056</v>
      </c>
      <c r="D82" s="123">
        <v>7.2502063850679255E-2</v>
      </c>
      <c r="E82" s="123">
        <v>0.95899418452522078</v>
      </c>
      <c r="F82" s="123">
        <v>8.8263520451522179E-3</v>
      </c>
      <c r="G82" s="123">
        <v>3.2179463429626999E-2</v>
      </c>
      <c r="H82" s="121"/>
      <c r="I82" s="121">
        <v>6.141036827641404</v>
      </c>
      <c r="J82" s="121">
        <v>1.0943904553359549</v>
      </c>
      <c r="K82" s="121">
        <v>0.855975931179212</v>
      </c>
      <c r="L82" s="121">
        <v>1.0079169801913486</v>
      </c>
      <c r="M82" s="121">
        <v>95.485664444702635</v>
      </c>
      <c r="N82" s="121">
        <v>1.9285598640486463</v>
      </c>
      <c r="O82" s="121"/>
      <c r="P82" s="121">
        <f t="shared" si="6"/>
        <v>0.1641281445593383</v>
      </c>
      <c r="Q82" s="121">
        <f t="shared" si="7"/>
        <v>87.250088831769403</v>
      </c>
      <c r="R82" s="121">
        <f t="shared" si="8"/>
        <v>2.2530538462592271</v>
      </c>
      <c r="S82" s="121"/>
      <c r="T82" s="121">
        <f t="shared" si="9"/>
        <v>0.55819606033727043</v>
      </c>
      <c r="U82" s="121">
        <f t="shared" si="10"/>
        <v>0.38946317602257641</v>
      </c>
      <c r="V82" s="121">
        <f t="shared" si="11"/>
        <v>5.2340763640153123E-2</v>
      </c>
    </row>
    <row r="83" spans="2:22" x14ac:dyDescent="0.3">
      <c r="B83" s="123">
        <v>0.15358550684091596</v>
      </c>
      <c r="C83" s="123">
        <v>0.78010000000000057</v>
      </c>
      <c r="D83" s="123">
        <v>6.6314493159083471E-2</v>
      </c>
      <c r="E83" s="123">
        <v>0.96255749578736305</v>
      </c>
      <c r="F83" s="123">
        <v>8.3838232091087532E-3</v>
      </c>
      <c r="G83" s="123">
        <v>2.9058681003528198E-2</v>
      </c>
      <c r="H83" s="121"/>
      <c r="I83" s="121">
        <v>6.3100581129726097</v>
      </c>
      <c r="J83" s="121">
        <v>1.0880007160201166</v>
      </c>
      <c r="K83" s="121">
        <v>0.85989259104974647</v>
      </c>
      <c r="L83" s="121">
        <v>1.0068317765099215</v>
      </c>
      <c r="M83" s="121">
        <v>101.23655251283863</v>
      </c>
      <c r="N83" s="121">
        <v>1.9623513310804213</v>
      </c>
      <c r="O83" s="121"/>
      <c r="P83" s="121">
        <f t="shared" si="6"/>
        <v>0.15955982630968391</v>
      </c>
      <c r="Q83" s="121">
        <f t="shared" si="7"/>
        <v>93.048240706274328</v>
      </c>
      <c r="R83" s="121">
        <f t="shared" si="8"/>
        <v>2.2820888928520811</v>
      </c>
      <c r="S83" s="121"/>
      <c r="T83" s="121">
        <f t="shared" si="9"/>
        <v>0.55807150131413952</v>
      </c>
      <c r="U83" s="121">
        <f t="shared" si="10"/>
        <v>0.39424191160455468</v>
      </c>
      <c r="V83" s="121">
        <f t="shared" si="11"/>
        <v>4.7686587081305833E-2</v>
      </c>
    </row>
    <row r="84" spans="2:22" x14ac:dyDescent="0.3">
      <c r="B84" s="123">
        <v>0.14989431457738472</v>
      </c>
      <c r="C84" s="123">
        <v>0.79010000000000058</v>
      </c>
      <c r="D84" s="123">
        <v>6.0005685422614696E-2</v>
      </c>
      <c r="E84" s="123">
        <v>0.96607546334579397</v>
      </c>
      <c r="F84" s="123">
        <v>7.9657784951673548E-3</v>
      </c>
      <c r="G84" s="123">
        <v>2.5958758159038673E-2</v>
      </c>
      <c r="H84" s="121"/>
      <c r="I84" s="121">
        <v>6.4826708314265034</v>
      </c>
      <c r="J84" s="121">
        <v>1.0819528783404688</v>
      </c>
      <c r="K84" s="121">
        <v>0.86372756814368223</v>
      </c>
      <c r="L84" s="121">
        <v>1.0058380921322165</v>
      </c>
      <c r="M84" s="121">
        <v>107.315433098651</v>
      </c>
      <c r="N84" s="121">
        <v>1.9965733502094964</v>
      </c>
      <c r="O84" s="121"/>
      <c r="P84" s="121">
        <f t="shared" si="6"/>
        <v>0.15515797705725606</v>
      </c>
      <c r="Q84" s="121">
        <f t="shared" si="7"/>
        <v>99.186790152316576</v>
      </c>
      <c r="R84" s="121">
        <f t="shared" si="8"/>
        <v>2.3115776592618356</v>
      </c>
      <c r="S84" s="121"/>
      <c r="T84" s="121">
        <f t="shared" si="9"/>
        <v>0.55798488896158938</v>
      </c>
      <c r="U84" s="121">
        <f t="shared" si="10"/>
        <v>0.39903288924758396</v>
      </c>
      <c r="V84" s="121">
        <f t="shared" si="11"/>
        <v>4.2982221790826683E-2</v>
      </c>
    </row>
    <row r="85" spans="2:22" x14ac:dyDescent="0.3">
      <c r="B85" s="123">
        <v>0.1463212347517166</v>
      </c>
      <c r="C85" s="123">
        <v>0.80010000000000059</v>
      </c>
      <c r="D85" s="123">
        <v>5.3578765248282811E-2</v>
      </c>
      <c r="E85" s="123">
        <v>0.9695468143900734</v>
      </c>
      <c r="F85" s="123">
        <v>7.5710311598433302E-3</v>
      </c>
      <c r="G85" s="123">
        <v>2.2882154450083271E-2</v>
      </c>
      <c r="H85" s="121"/>
      <c r="I85" s="121">
        <v>6.6588393099728149</v>
      </c>
      <c r="J85" s="121">
        <v>1.0762290823100973</v>
      </c>
      <c r="K85" s="121">
        <v>0.86747954501656643</v>
      </c>
      <c r="L85" s="121">
        <v>1.0049330010551643</v>
      </c>
      <c r="M85" s="121">
        <v>113.73495506444702</v>
      </c>
      <c r="N85" s="121">
        <v>2.0312109596813372</v>
      </c>
      <c r="O85" s="121"/>
      <c r="P85" s="121">
        <f t="shared" si="6"/>
        <v>0.15091714250411414</v>
      </c>
      <c r="Q85" s="121">
        <f t="shared" si="7"/>
        <v>105.67913182602162</v>
      </c>
      <c r="R85" s="121">
        <f t="shared" si="8"/>
        <v>2.3415087668061707</v>
      </c>
      <c r="S85" s="121"/>
      <c r="T85" s="121">
        <f t="shared" si="9"/>
        <v>0.55793402457089503</v>
      </c>
      <c r="U85" s="121">
        <f t="shared" si="10"/>
        <v>0.40383551557992198</v>
      </c>
      <c r="V85" s="121">
        <f t="shared" si="11"/>
        <v>3.8230459849183038E-2</v>
      </c>
    </row>
    <row r="86" spans="2:22" x14ac:dyDescent="0.3">
      <c r="B86" s="123">
        <v>0.14286308669283962</v>
      </c>
      <c r="C86" s="123">
        <v>0.8101000000000006</v>
      </c>
      <c r="D86" s="123">
        <v>4.7036913307159783E-2</v>
      </c>
      <c r="E86" s="123">
        <v>0.97297044172882319</v>
      </c>
      <c r="F86" s="123">
        <v>7.1984139176761806E-3</v>
      </c>
      <c r="G86" s="123">
        <v>1.9831144353500633E-2</v>
      </c>
      <c r="H86" s="121"/>
      <c r="I86" s="121">
        <v>6.8385249745794487</v>
      </c>
      <c r="J86" s="121">
        <v>1.0708122601937355</v>
      </c>
      <c r="K86" s="121">
        <v>0.87114749736568853</v>
      </c>
      <c r="L86" s="121">
        <v>1.0041135315051892</v>
      </c>
      <c r="M86" s="121">
        <v>120.50779823216727</v>
      </c>
      <c r="N86" s="121">
        <v>2.0662493591352371</v>
      </c>
      <c r="O86" s="121"/>
      <c r="P86" s="121">
        <f t="shared" si="6"/>
        <v>0.14683188775909087</v>
      </c>
      <c r="Q86" s="121">
        <f t="shared" si="7"/>
        <v>112.53867994597346</v>
      </c>
      <c r="R86" s="121">
        <f t="shared" si="8"/>
        <v>2.3718708546870486</v>
      </c>
      <c r="S86" s="121"/>
      <c r="T86" s="121">
        <f t="shared" si="9"/>
        <v>0.55791676421083136</v>
      </c>
      <c r="U86" s="121">
        <f t="shared" si="10"/>
        <v>0.40864920695883838</v>
      </c>
      <c r="V86" s="121">
        <f t="shared" si="11"/>
        <v>3.3434028830330212E-2</v>
      </c>
    </row>
    <row r="87" spans="2:22" x14ac:dyDescent="0.3">
      <c r="B87" s="123">
        <v>0.13951665067156346</v>
      </c>
      <c r="C87" s="123">
        <v>0.82010000000000061</v>
      </c>
      <c r="D87" s="123">
        <v>4.038334932843593E-2</v>
      </c>
      <c r="E87" s="123">
        <v>0.97634539213765636</v>
      </c>
      <c r="F87" s="123">
        <v>6.8467872741925766E-3</v>
      </c>
      <c r="G87" s="123">
        <v>1.6807820588151057E-2</v>
      </c>
      <c r="H87" s="121"/>
      <c r="I87" s="121">
        <v>7.0216866883883471</v>
      </c>
      <c r="J87" s="121">
        <v>1.0656861158984239</v>
      </c>
      <c r="K87" s="121">
        <v>0.87473067718025843</v>
      </c>
      <c r="L87" s="121">
        <v>1.0033766909926924</v>
      </c>
      <c r="M87" s="121">
        <v>127.64660981107563</v>
      </c>
      <c r="N87" s="121">
        <v>2.1016737012157449</v>
      </c>
      <c r="O87" s="121"/>
      <c r="P87" s="121">
        <f t="shared" si="6"/>
        <v>0.1428968188871145</v>
      </c>
      <c r="Q87" s="121">
        <f t="shared" si="7"/>
        <v>119.77880532248795</v>
      </c>
      <c r="R87" s="121">
        <f t="shared" si="8"/>
        <v>2.402652331790406</v>
      </c>
      <c r="S87" s="121"/>
      <c r="T87" s="121">
        <f t="shared" si="9"/>
        <v>0.55793102140460993</v>
      </c>
      <c r="U87" s="121">
        <f t="shared" si="10"/>
        <v>0.41347339363709656</v>
      </c>
      <c r="V87" s="121">
        <f t="shared" si="11"/>
        <v>2.8595584958293493E-2</v>
      </c>
    </row>
    <row r="88" spans="2:22" x14ac:dyDescent="0.3">
      <c r="B88" s="123">
        <v>0.13627868513146679</v>
      </c>
      <c r="C88" s="123">
        <v>0.83010000000000062</v>
      </c>
      <c r="D88" s="123">
        <v>3.3621314868532592E-2</v>
      </c>
      <c r="E88" s="123">
        <v>0.97967086486962462</v>
      </c>
      <c r="F88" s="123">
        <v>6.5150420947969138E-3</v>
      </c>
      <c r="G88" s="123">
        <v>1.3814093035578462E-2</v>
      </c>
      <c r="H88" s="121"/>
      <c r="I88" s="121">
        <v>7.2082810183048567</v>
      </c>
      <c r="J88" s="121">
        <v>1.0608351057563263</v>
      </c>
      <c r="K88" s="121">
        <v>0.87822859081485882</v>
      </c>
      <c r="L88" s="121">
        <v>1.0027194790195444</v>
      </c>
      <c r="M88" s="121">
        <v>135.1640109879869</v>
      </c>
      <c r="N88" s="121">
        <v>2.1374693150166535</v>
      </c>
      <c r="O88" s="121"/>
      <c r="P88" s="121">
        <f t="shared" si="6"/>
        <v>0.139106602041904</v>
      </c>
      <c r="Q88" s="121">
        <f t="shared" si="7"/>
        <v>127.41283754143977</v>
      </c>
      <c r="R88" s="121">
        <f t="shared" si="8"/>
        <v>2.4338416414266395</v>
      </c>
      <c r="S88" s="121"/>
      <c r="T88" s="121">
        <f t="shared" si="9"/>
        <v>0.55797477500054571</v>
      </c>
      <c r="U88" s="121">
        <f t="shared" si="10"/>
        <v>0.41830752104739877</v>
      </c>
      <c r="V88" s="121">
        <f t="shared" si="11"/>
        <v>2.3717703952055528E-2</v>
      </c>
    </row>
    <row r="89" spans="2:22" x14ac:dyDescent="0.3">
      <c r="B89" s="123">
        <v>0.13314594068595778</v>
      </c>
      <c r="C89" s="123">
        <v>0.84010000000000062</v>
      </c>
      <c r="D89" s="123">
        <v>2.6754059314041595E-2</v>
      </c>
      <c r="E89" s="123">
        <v>0.98294620099136876</v>
      </c>
      <c r="F89" s="123">
        <v>6.2021052561060403E-3</v>
      </c>
      <c r="G89" s="123">
        <v>1.0851693752525203E-2</v>
      </c>
      <c r="H89" s="121"/>
      <c r="I89" s="121">
        <v>7.3982625784122256</v>
      </c>
      <c r="J89" s="121">
        <v>1.0562444157358881</v>
      </c>
      <c r="K89" s="121">
        <v>0.88164098369009891</v>
      </c>
      <c r="L89" s="121">
        <v>1.0021389059247863</v>
      </c>
      <c r="M89" s="121">
        <v>143.07253698832565</v>
      </c>
      <c r="N89" s="121">
        <v>2.1736215294360131</v>
      </c>
      <c r="O89" s="121"/>
      <c r="P89" s="121">
        <f t="shared" si="6"/>
        <v>0.13545597973894294</v>
      </c>
      <c r="Q89" s="121">
        <f t="shared" si="7"/>
        <v>135.45400558510565</v>
      </c>
      <c r="R89" s="121">
        <f t="shared" si="8"/>
        <v>2.4654270498387305</v>
      </c>
      <c r="S89" s="121"/>
      <c r="T89" s="121">
        <f t="shared" si="9"/>
        <v>0.55804607083866331</v>
      </c>
      <c r="U89" s="121">
        <f t="shared" si="10"/>
        <v>0.42315105262805336</v>
      </c>
      <c r="V89" s="121">
        <f t="shared" si="11"/>
        <v>1.88028765332834E-2</v>
      </c>
    </row>
    <row r="90" spans="2:22" x14ac:dyDescent="0.3">
      <c r="B90" s="123">
        <v>0.13011517559561361</v>
      </c>
      <c r="C90" s="123">
        <v>0.85010000000000063</v>
      </c>
      <c r="D90" s="123">
        <v>1.9784824404385754E-2</v>
      </c>
      <c r="E90" s="123">
        <v>0.98617088066176795</v>
      </c>
      <c r="F90" s="123">
        <v>5.906940727152055E-3</v>
      </c>
      <c r="G90" s="123">
        <v>7.9221786110799993E-3</v>
      </c>
      <c r="H90" s="121"/>
      <c r="I90" s="121">
        <v>7.5915842228982644</v>
      </c>
      <c r="J90" s="121">
        <v>1.0518999418418389</v>
      </c>
      <c r="K90" s="121">
        <v>0.8849678153833419</v>
      </c>
      <c r="L90" s="121">
        <v>1.0016320027097634</v>
      </c>
      <c r="M90" s="121">
        <v>151.38464763144543</v>
      </c>
      <c r="N90" s="121">
        <v>2.2101158898896536</v>
      </c>
      <c r="O90" s="121"/>
      <c r="P90" s="121">
        <f t="shared" si="6"/>
        <v>0.13193978665066655</v>
      </c>
      <c r="Q90" s="121">
        <f t="shared" si="7"/>
        <v>143.91544443512029</v>
      </c>
      <c r="R90" s="121">
        <f t="shared" si="8"/>
        <v>2.4973969126011117</v>
      </c>
      <c r="S90" s="121"/>
      <c r="T90" s="121">
        <f t="shared" si="9"/>
        <v>0.55814302812869077</v>
      </c>
      <c r="U90" s="121">
        <f t="shared" si="10"/>
        <v>0.42800347036357633</v>
      </c>
      <c r="V90" s="121">
        <f t="shared" si="11"/>
        <v>1.3853501507732877E-2</v>
      </c>
    </row>
    <row r="91" spans="2:22" x14ac:dyDescent="0.3">
      <c r="B91" s="123">
        <v>0.12718316592533424</v>
      </c>
      <c r="C91" s="123">
        <v>0.86010000000000064</v>
      </c>
      <c r="D91" s="123">
        <v>1.2716834074665118E-2</v>
      </c>
      <c r="E91" s="123">
        <v>0.98934451223451814</v>
      </c>
      <c r="F91" s="123">
        <v>5.6285534267385973E-3</v>
      </c>
      <c r="G91" s="123">
        <v>5.0269343387432663E-3</v>
      </c>
      <c r="H91" s="121"/>
      <c r="I91" s="121">
        <v>7.7881974255026245</v>
      </c>
      <c r="J91" s="121">
        <v>1.0477882645298091</v>
      </c>
      <c r="K91" s="121">
        <v>0.88820924916749866</v>
      </c>
      <c r="L91" s="121">
        <v>1.0011958354019379</v>
      </c>
      <c r="M91" s="121">
        <v>160.11266447981134</v>
      </c>
      <c r="N91" s="121">
        <v>2.2469379713580784</v>
      </c>
      <c r="O91" s="121"/>
      <c r="P91" s="121">
        <f t="shared" si="6"/>
        <v>0.12855296042233086</v>
      </c>
      <c r="Q91" s="121">
        <f t="shared" si="7"/>
        <v>152.81013340196293</v>
      </c>
      <c r="R91" s="121">
        <f t="shared" si="8"/>
        <v>2.5297394431144142</v>
      </c>
      <c r="S91" s="121"/>
      <c r="T91" s="121">
        <f t="shared" si="9"/>
        <v>0.55826383907992616</v>
      </c>
      <c r="U91" s="121">
        <f t="shared" si="10"/>
        <v>0.43286427671336963</v>
      </c>
      <c r="V91" s="121">
        <f t="shared" si="11"/>
        <v>8.871884206704192E-3</v>
      </c>
    </row>
    <row r="92" spans="2:22" x14ac:dyDescent="0.3">
      <c r="B92" s="123">
        <v>0.12434671930039887</v>
      </c>
      <c r="C92" s="123">
        <v>0.87010000000000065</v>
      </c>
      <c r="D92" s="123">
        <v>5.5532806996004824E-3</v>
      </c>
      <c r="E92" s="123">
        <v>0.99246682879536241</v>
      </c>
      <c r="F92" s="123">
        <v>5.3659890566261853E-3</v>
      </c>
      <c r="G92" s="123">
        <v>2.1671821480114045E-3</v>
      </c>
      <c r="H92" s="121"/>
      <c r="I92" s="121">
        <v>7.988052381472011</v>
      </c>
      <c r="J92" s="121">
        <v>1.043896629038537</v>
      </c>
      <c r="K92" s="121">
        <v>0.8913656243670679</v>
      </c>
      <c r="L92" s="121">
        <v>1.0008275122317358</v>
      </c>
      <c r="M92" s="121">
        <v>169.26878667499801</v>
      </c>
      <c r="N92" s="121">
        <v>2.2840735941957315</v>
      </c>
      <c r="O92" s="121"/>
      <c r="P92" s="121">
        <f t="shared" si="6"/>
        <v>0.12529055449775442</v>
      </c>
      <c r="Q92" s="121">
        <f t="shared" si="7"/>
        <v>162.15090840067194</v>
      </c>
      <c r="R92" s="121">
        <f t="shared" si="8"/>
        <v>2.5624429883275592</v>
      </c>
      <c r="S92" s="121"/>
      <c r="T92" s="121">
        <f t="shared" si="9"/>
        <v>0.55840677404788064</v>
      </c>
      <c r="U92" s="121">
        <f t="shared" si="10"/>
        <v>0.43773299452831343</v>
      </c>
      <c r="V92" s="121">
        <f t="shared" si="11"/>
        <v>3.8602314238059435E-3</v>
      </c>
    </row>
    <row r="93" spans="2:22" x14ac:dyDescent="0.3">
      <c r="B93" s="123"/>
      <c r="C93" s="123"/>
      <c r="D93" s="123"/>
      <c r="E93" s="123"/>
      <c r="F93" s="123"/>
      <c r="G93" s="123"/>
      <c r="H93" s="121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</row>
    <row r="94" spans="2:22" x14ac:dyDescent="0.3">
      <c r="B94" s="123"/>
      <c r="C94" s="123"/>
      <c r="D94" s="123"/>
      <c r="E94" s="123"/>
      <c r="F94" s="123"/>
      <c r="G94" s="123"/>
      <c r="H94" s="121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</row>
    <row r="95" spans="2:22" x14ac:dyDescent="0.3">
      <c r="B95" s="123"/>
      <c r="C95" s="123"/>
      <c r="D95" s="123"/>
      <c r="E95" s="123"/>
      <c r="F95" s="123"/>
      <c r="G95" s="123"/>
      <c r="H95" s="121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</row>
    <row r="96" spans="2:22" x14ac:dyDescent="0.3">
      <c r="B96" s="123"/>
      <c r="C96" s="123"/>
      <c r="D96" s="123"/>
      <c r="E96" s="123"/>
      <c r="F96" s="123"/>
      <c r="G96" s="123"/>
      <c r="H96" s="121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</row>
    <row r="97" spans="2:22" x14ac:dyDescent="0.3">
      <c r="B97" s="123"/>
      <c r="C97" s="123"/>
      <c r="D97" s="123"/>
      <c r="E97" s="123"/>
      <c r="F97" s="123"/>
      <c r="G97" s="123"/>
      <c r="H97" s="121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</row>
    <row r="98" spans="2:22" x14ac:dyDescent="0.3">
      <c r="B98" s="123"/>
      <c r="C98" s="123"/>
      <c r="D98" s="123"/>
      <c r="E98" s="123"/>
      <c r="F98" s="123"/>
      <c r="G98" s="123"/>
      <c r="H98" s="121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</row>
    <row r="99" spans="2:22" x14ac:dyDescent="0.3">
      <c r="B99" s="123"/>
      <c r="C99" s="123"/>
      <c r="D99" s="123"/>
      <c r="E99" s="123"/>
      <c r="F99" s="123"/>
      <c r="G99" s="123"/>
      <c r="H99" s="121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121"/>
      <c r="T99" s="121"/>
      <c r="U99" s="121"/>
      <c r="V99" s="121"/>
    </row>
    <row r="100" spans="2:22" x14ac:dyDescent="0.3">
      <c r="B100" s="123"/>
      <c r="C100" s="123"/>
      <c r="D100" s="123"/>
      <c r="E100" s="123"/>
      <c r="F100" s="123"/>
      <c r="G100" s="123"/>
      <c r="H100" s="121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</row>
    <row r="101" spans="2:22" x14ac:dyDescent="0.3">
      <c r="B101" s="123"/>
      <c r="C101" s="123"/>
      <c r="D101" s="123"/>
      <c r="E101" s="123"/>
      <c r="F101" s="123"/>
      <c r="G101" s="123"/>
      <c r="H101" s="121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</row>
    <row r="102" spans="2:22" x14ac:dyDescent="0.3">
      <c r="B102" s="123"/>
      <c r="C102" s="123"/>
      <c r="D102" s="123"/>
      <c r="E102" s="123"/>
      <c r="F102" s="123"/>
      <c r="G102" s="123"/>
      <c r="H102" s="121"/>
      <c r="I102" s="121"/>
      <c r="J102" s="121"/>
      <c r="K102" s="121"/>
      <c r="L102" s="121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</row>
    <row r="103" spans="2:22" x14ac:dyDescent="0.3">
      <c r="B103" s="123"/>
      <c r="C103" s="123"/>
      <c r="D103" s="123"/>
      <c r="E103" s="123"/>
      <c r="F103" s="123"/>
      <c r="G103" s="123"/>
      <c r="H103" s="121"/>
      <c r="I103" s="121"/>
      <c r="J103" s="121"/>
      <c r="K103" s="121"/>
      <c r="L103" s="121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</row>
    <row r="104" spans="2:22" x14ac:dyDescent="0.3">
      <c r="B104" s="123"/>
      <c r="C104" s="123"/>
      <c r="D104" s="123"/>
      <c r="E104" s="123"/>
      <c r="F104" s="123"/>
      <c r="G104" s="123"/>
      <c r="H104" s="121"/>
      <c r="I104" s="121"/>
      <c r="J104" s="121"/>
      <c r="K104" s="121"/>
      <c r="L104" s="121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</row>
    <row r="105" spans="2:22" x14ac:dyDescent="0.3">
      <c r="B105" s="123"/>
      <c r="C105" s="123"/>
      <c r="D105" s="123"/>
      <c r="E105" s="123"/>
      <c r="F105" s="123"/>
      <c r="G105" s="123"/>
      <c r="H105" s="121"/>
      <c r="I105" s="121"/>
      <c r="J105" s="121"/>
      <c r="K105" s="121"/>
      <c r="L105" s="121"/>
      <c r="M105" s="121"/>
      <c r="N105" s="121"/>
      <c r="O105" s="121"/>
      <c r="P105" s="121"/>
      <c r="Q105" s="121"/>
      <c r="R105" s="121"/>
      <c r="S105" s="121"/>
      <c r="T105" s="121"/>
      <c r="U105" s="121"/>
      <c r="V105" s="121"/>
    </row>
    <row r="106" spans="2:22" x14ac:dyDescent="0.3">
      <c r="B106" s="123"/>
      <c r="C106" s="123"/>
      <c r="D106" s="123"/>
      <c r="E106" s="123"/>
      <c r="F106" s="123"/>
      <c r="G106" s="123"/>
      <c r="H106" s="121"/>
      <c r="I106" s="121"/>
      <c r="J106" s="121"/>
      <c r="K106" s="121"/>
      <c r="L106" s="121"/>
      <c r="M106" s="121"/>
      <c r="N106" s="121"/>
      <c r="O106" s="121"/>
      <c r="P106" s="121"/>
      <c r="Q106" s="121"/>
      <c r="R106" s="121"/>
      <c r="S106" s="121"/>
      <c r="T106" s="121"/>
      <c r="U106" s="121"/>
      <c r="V106" s="121"/>
    </row>
    <row r="107" spans="2:22" x14ac:dyDescent="0.3">
      <c r="B107" s="123"/>
      <c r="C107" s="123"/>
      <c r="D107" s="123"/>
      <c r="E107" s="123"/>
      <c r="F107" s="123"/>
      <c r="G107" s="123"/>
      <c r="H107" s="121"/>
      <c r="I107" s="121"/>
      <c r="J107" s="121"/>
      <c r="K107" s="121"/>
      <c r="L107" s="121"/>
      <c r="M107" s="121"/>
      <c r="N107" s="121"/>
      <c r="O107" s="121"/>
      <c r="P107" s="121"/>
      <c r="Q107" s="121"/>
      <c r="R107" s="121"/>
      <c r="S107" s="121"/>
      <c r="T107" s="121"/>
      <c r="U107" s="121"/>
      <c r="V107" s="121"/>
    </row>
    <row r="108" spans="2:22" x14ac:dyDescent="0.3">
      <c r="B108" s="123"/>
      <c r="C108" s="123"/>
      <c r="D108" s="123"/>
      <c r="E108" s="123"/>
      <c r="F108" s="123"/>
      <c r="G108" s="123"/>
      <c r="H108" s="121"/>
      <c r="I108" s="121"/>
      <c r="J108" s="121"/>
      <c r="K108" s="121"/>
      <c r="L108" s="121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</row>
    <row r="109" spans="2:22" x14ac:dyDescent="0.3">
      <c r="B109" s="123"/>
      <c r="C109" s="123"/>
      <c r="D109" s="123"/>
      <c r="E109" s="123"/>
      <c r="F109" s="123"/>
      <c r="G109" s="123"/>
      <c r="H109" s="121"/>
      <c r="I109" s="121"/>
      <c r="J109" s="121"/>
      <c r="K109" s="121"/>
      <c r="L109" s="121"/>
      <c r="M109" s="121"/>
      <c r="N109" s="121"/>
      <c r="O109" s="121"/>
      <c r="P109" s="121"/>
      <c r="Q109" s="121"/>
      <c r="R109" s="121"/>
      <c r="S109" s="121"/>
      <c r="T109" s="121"/>
      <c r="U109" s="121"/>
      <c r="V109" s="121"/>
    </row>
    <row r="110" spans="2:22" x14ac:dyDescent="0.3">
      <c r="B110" s="123"/>
      <c r="C110" s="123"/>
      <c r="D110" s="123"/>
      <c r="E110" s="123"/>
      <c r="F110" s="123"/>
      <c r="G110" s="123"/>
      <c r="H110" s="121"/>
      <c r="I110" s="121"/>
      <c r="J110" s="121"/>
      <c r="K110" s="121"/>
      <c r="L110" s="121"/>
      <c r="M110" s="121"/>
      <c r="N110" s="121"/>
      <c r="O110" s="121"/>
      <c r="P110" s="121"/>
      <c r="Q110" s="121"/>
      <c r="R110" s="121"/>
      <c r="S110" s="121"/>
      <c r="T110" s="121"/>
      <c r="U110" s="121"/>
      <c r="V110" s="121"/>
    </row>
    <row r="111" spans="2:22" x14ac:dyDescent="0.3">
      <c r="B111" s="123"/>
      <c r="C111" s="123"/>
      <c r="D111" s="123"/>
      <c r="E111" s="123"/>
      <c r="F111" s="123"/>
      <c r="G111" s="123"/>
      <c r="H111" s="121"/>
      <c r="I111" s="121"/>
      <c r="J111" s="121"/>
      <c r="K111" s="121"/>
      <c r="L111" s="121"/>
      <c r="M111" s="121"/>
      <c r="N111" s="121"/>
      <c r="O111" s="121"/>
      <c r="P111" s="121"/>
      <c r="Q111" s="121"/>
      <c r="R111" s="121"/>
      <c r="S111" s="121"/>
      <c r="T111" s="121"/>
      <c r="U111" s="121"/>
      <c r="V111" s="121"/>
    </row>
    <row r="112" spans="2:22" x14ac:dyDescent="0.3">
      <c r="B112" s="123"/>
      <c r="C112" s="123"/>
      <c r="D112" s="123"/>
      <c r="E112" s="123"/>
      <c r="F112" s="123"/>
      <c r="G112" s="123"/>
      <c r="H112" s="121"/>
      <c r="I112" s="121"/>
      <c r="J112" s="121"/>
      <c r="K112" s="121"/>
      <c r="L112" s="121"/>
      <c r="M112" s="121"/>
      <c r="N112" s="121"/>
      <c r="O112" s="121"/>
      <c r="P112" s="121"/>
      <c r="Q112" s="121"/>
      <c r="R112" s="121"/>
      <c r="S112" s="121"/>
      <c r="T112" s="121"/>
      <c r="U112" s="121"/>
      <c r="V112" s="121"/>
    </row>
    <row r="113" spans="2:22" x14ac:dyDescent="0.3">
      <c r="B113" s="123"/>
      <c r="C113" s="123"/>
      <c r="D113" s="123"/>
      <c r="E113" s="123"/>
      <c r="F113" s="123"/>
      <c r="G113" s="123"/>
      <c r="H113" s="121"/>
      <c r="I113" s="121"/>
      <c r="J113" s="121"/>
      <c r="K113" s="121"/>
      <c r="L113" s="121"/>
      <c r="M113" s="121"/>
      <c r="N113" s="121"/>
      <c r="O113" s="121"/>
      <c r="P113" s="121"/>
      <c r="Q113" s="121"/>
      <c r="R113" s="121"/>
      <c r="S113" s="121"/>
      <c r="T113" s="121"/>
      <c r="U113" s="121"/>
      <c r="V113" s="121"/>
    </row>
    <row r="114" spans="2:22" x14ac:dyDescent="0.3">
      <c r="B114" s="123"/>
      <c r="C114" s="123"/>
      <c r="D114" s="123"/>
      <c r="E114" s="123"/>
      <c r="F114" s="123"/>
      <c r="G114" s="123"/>
      <c r="H114" s="121"/>
      <c r="I114" s="121"/>
      <c r="J114" s="121"/>
      <c r="K114" s="121"/>
      <c r="L114" s="121"/>
      <c r="M114" s="121"/>
      <c r="N114" s="121"/>
      <c r="O114" s="121"/>
      <c r="P114" s="121"/>
      <c r="Q114" s="121"/>
      <c r="R114" s="121"/>
      <c r="S114" s="121"/>
      <c r="T114" s="121"/>
      <c r="U114" s="121"/>
      <c r="V114" s="121"/>
    </row>
    <row r="115" spans="2:22" x14ac:dyDescent="0.3">
      <c r="B115" s="123"/>
      <c r="C115" s="123"/>
      <c r="D115" s="123"/>
      <c r="E115" s="123"/>
      <c r="F115" s="123"/>
      <c r="G115" s="123"/>
      <c r="H115" s="121"/>
      <c r="I115" s="121"/>
      <c r="J115" s="121"/>
      <c r="K115" s="121"/>
      <c r="L115" s="121"/>
      <c r="M115" s="121"/>
      <c r="N115" s="121"/>
      <c r="O115" s="121"/>
      <c r="P115" s="121"/>
      <c r="Q115" s="121"/>
      <c r="R115" s="121"/>
      <c r="S115" s="121"/>
      <c r="T115" s="121"/>
      <c r="U115" s="121"/>
      <c r="V115" s="121"/>
    </row>
    <row r="116" spans="2:22" x14ac:dyDescent="0.3">
      <c r="B116" s="123"/>
      <c r="C116" s="123"/>
      <c r="D116" s="123"/>
      <c r="E116" s="123"/>
      <c r="F116" s="123"/>
      <c r="G116" s="123"/>
      <c r="H116" s="121"/>
      <c r="I116" s="121"/>
      <c r="J116" s="121"/>
      <c r="K116" s="121"/>
      <c r="L116" s="121"/>
      <c r="M116" s="121"/>
      <c r="N116" s="121"/>
      <c r="O116" s="121"/>
      <c r="P116" s="121"/>
      <c r="Q116" s="121"/>
      <c r="R116" s="121"/>
      <c r="S116" s="121"/>
      <c r="T116" s="121"/>
      <c r="U116" s="121"/>
      <c r="V116" s="121"/>
    </row>
    <row r="117" spans="2:22" x14ac:dyDescent="0.3">
      <c r="B117" s="123"/>
      <c r="C117" s="123"/>
      <c r="D117" s="123"/>
      <c r="E117" s="123"/>
      <c r="F117" s="123"/>
      <c r="G117" s="123"/>
      <c r="H117" s="121"/>
      <c r="I117" s="121"/>
      <c r="J117" s="121"/>
      <c r="K117" s="121"/>
      <c r="L117" s="121"/>
      <c r="M117" s="121"/>
      <c r="N117" s="121"/>
      <c r="O117" s="121"/>
      <c r="P117" s="121"/>
      <c r="Q117" s="121"/>
      <c r="R117" s="121"/>
      <c r="S117" s="121"/>
      <c r="T117" s="121"/>
      <c r="U117" s="121"/>
      <c r="V117" s="121"/>
    </row>
    <row r="118" spans="2:22" x14ac:dyDescent="0.3">
      <c r="B118" s="123"/>
      <c r="C118" s="123"/>
      <c r="D118" s="123"/>
      <c r="E118" s="123"/>
      <c r="F118" s="123"/>
      <c r="G118" s="123"/>
      <c r="H118" s="121"/>
      <c r="I118" s="121"/>
      <c r="J118" s="121"/>
      <c r="K118" s="121"/>
      <c r="L118" s="121"/>
      <c r="M118" s="121"/>
      <c r="N118" s="121"/>
      <c r="O118" s="121"/>
      <c r="P118" s="121"/>
      <c r="Q118" s="121"/>
      <c r="R118" s="121"/>
      <c r="S118" s="121"/>
      <c r="T118" s="121"/>
      <c r="U118" s="121"/>
      <c r="V118" s="121"/>
    </row>
    <row r="119" spans="2:22" x14ac:dyDescent="0.3">
      <c r="B119" s="123"/>
      <c r="C119" s="123"/>
      <c r="D119" s="123"/>
      <c r="E119" s="123"/>
      <c r="F119" s="123"/>
      <c r="G119" s="123"/>
      <c r="H119" s="121"/>
      <c r="I119" s="121"/>
      <c r="J119" s="121"/>
      <c r="K119" s="121"/>
      <c r="L119" s="121"/>
      <c r="M119" s="121"/>
      <c r="N119" s="121"/>
      <c r="O119" s="121"/>
      <c r="P119" s="121"/>
      <c r="Q119" s="121"/>
      <c r="R119" s="121"/>
      <c r="S119" s="121"/>
      <c r="T119" s="121"/>
      <c r="U119" s="121"/>
      <c r="V119" s="121"/>
    </row>
    <row r="120" spans="2:22" x14ac:dyDescent="0.3">
      <c r="B120" s="123"/>
      <c r="C120" s="123"/>
      <c r="D120" s="123"/>
      <c r="E120" s="123"/>
      <c r="F120" s="123"/>
      <c r="G120" s="123"/>
      <c r="H120" s="121"/>
      <c r="I120" s="121"/>
      <c r="J120" s="121"/>
      <c r="K120" s="121"/>
      <c r="L120" s="121"/>
      <c r="M120" s="121"/>
      <c r="N120" s="121"/>
      <c r="O120" s="121"/>
      <c r="P120" s="121"/>
      <c r="Q120" s="121"/>
      <c r="R120" s="121"/>
      <c r="S120" s="121"/>
      <c r="T120" s="121"/>
      <c r="U120" s="121"/>
      <c r="V120" s="121"/>
    </row>
    <row r="121" spans="2:22" x14ac:dyDescent="0.3">
      <c r="B121" s="123"/>
      <c r="C121" s="123"/>
      <c r="D121" s="123"/>
      <c r="E121" s="123"/>
      <c r="F121" s="123"/>
      <c r="G121" s="123"/>
      <c r="H121" s="121"/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21"/>
      <c r="T121" s="121"/>
      <c r="U121" s="121"/>
      <c r="V121" s="121"/>
    </row>
    <row r="122" spans="2:22" x14ac:dyDescent="0.3">
      <c r="B122" s="123"/>
      <c r="C122" s="123"/>
      <c r="D122" s="123"/>
      <c r="E122" s="123"/>
      <c r="F122" s="123"/>
      <c r="G122" s="123"/>
      <c r="H122" s="121"/>
      <c r="I122" s="121"/>
      <c r="J122" s="121"/>
      <c r="K122" s="121"/>
      <c r="L122" s="121"/>
      <c r="M122" s="121"/>
      <c r="N122" s="121"/>
      <c r="O122" s="121"/>
      <c r="P122" s="121"/>
      <c r="Q122" s="121"/>
      <c r="R122" s="121"/>
      <c r="S122" s="121"/>
      <c r="T122" s="121"/>
      <c r="U122" s="121"/>
      <c r="V122" s="121"/>
    </row>
    <row r="123" spans="2:22" x14ac:dyDescent="0.3">
      <c r="B123" s="123"/>
      <c r="C123" s="123"/>
      <c r="D123" s="123"/>
      <c r="E123" s="123"/>
      <c r="F123" s="123"/>
      <c r="G123" s="123"/>
      <c r="H123" s="121"/>
      <c r="I123" s="121"/>
      <c r="J123" s="121"/>
      <c r="K123" s="121"/>
      <c r="L123" s="121"/>
      <c r="M123" s="121"/>
      <c r="N123" s="121"/>
      <c r="O123" s="121"/>
      <c r="P123" s="121"/>
      <c r="Q123" s="121"/>
      <c r="R123" s="121"/>
      <c r="S123" s="121"/>
      <c r="T123" s="121"/>
      <c r="U123" s="121"/>
      <c r="V123" s="121"/>
    </row>
    <row r="124" spans="2:22" x14ac:dyDescent="0.3">
      <c r="B124" s="123"/>
      <c r="C124" s="123"/>
      <c r="D124" s="123"/>
      <c r="E124" s="123"/>
      <c r="F124" s="123"/>
      <c r="G124" s="123"/>
      <c r="H124" s="121"/>
      <c r="I124" s="121"/>
      <c r="J124" s="121"/>
      <c r="K124" s="121"/>
      <c r="L124" s="121"/>
      <c r="M124" s="121"/>
      <c r="N124" s="121"/>
      <c r="O124" s="121"/>
      <c r="P124" s="121"/>
      <c r="Q124" s="121"/>
      <c r="R124" s="121"/>
      <c r="S124" s="121"/>
      <c r="T124" s="121"/>
      <c r="U124" s="121"/>
      <c r="V124" s="121"/>
    </row>
    <row r="125" spans="2:22" x14ac:dyDescent="0.3">
      <c r="B125" s="123"/>
      <c r="C125" s="123"/>
      <c r="D125" s="123"/>
      <c r="E125" s="123"/>
      <c r="F125" s="123"/>
      <c r="G125" s="123"/>
      <c r="H125" s="121"/>
      <c r="I125" s="121"/>
      <c r="J125" s="121"/>
      <c r="K125" s="121"/>
      <c r="L125" s="121"/>
      <c r="M125" s="121"/>
      <c r="N125" s="121"/>
      <c r="O125" s="121"/>
      <c r="P125" s="121"/>
      <c r="Q125" s="121"/>
      <c r="R125" s="121"/>
      <c r="S125" s="121"/>
      <c r="T125" s="121"/>
      <c r="U125" s="121"/>
      <c r="V125" s="121"/>
    </row>
    <row r="126" spans="2:22" x14ac:dyDescent="0.3">
      <c r="B126" s="123"/>
      <c r="C126" s="123"/>
      <c r="D126" s="123"/>
      <c r="E126" s="123"/>
      <c r="F126" s="123"/>
      <c r="G126" s="123"/>
      <c r="H126" s="121"/>
      <c r="I126" s="121"/>
      <c r="J126" s="121"/>
      <c r="K126" s="121"/>
      <c r="L126" s="121"/>
      <c r="M126" s="121"/>
      <c r="N126" s="121"/>
      <c r="O126" s="121"/>
      <c r="P126" s="121"/>
      <c r="Q126" s="121"/>
      <c r="R126" s="121"/>
      <c r="S126" s="121"/>
      <c r="T126" s="121"/>
      <c r="U126" s="121"/>
      <c r="V126" s="121"/>
    </row>
    <row r="127" spans="2:22" x14ac:dyDescent="0.3">
      <c r="B127" s="123"/>
      <c r="C127" s="123"/>
      <c r="D127" s="123"/>
      <c r="E127" s="123"/>
      <c r="F127" s="123"/>
      <c r="G127" s="123"/>
      <c r="H127" s="121"/>
      <c r="I127" s="121"/>
      <c r="J127" s="121"/>
      <c r="K127" s="121"/>
      <c r="L127" s="121"/>
      <c r="M127" s="121"/>
      <c r="N127" s="121"/>
      <c r="O127" s="121"/>
      <c r="P127" s="121"/>
      <c r="Q127" s="121"/>
      <c r="R127" s="121"/>
      <c r="S127" s="121"/>
      <c r="T127" s="121"/>
      <c r="U127" s="121"/>
      <c r="V127" s="121"/>
    </row>
    <row r="128" spans="2:22" x14ac:dyDescent="0.3">
      <c r="B128" s="123"/>
      <c r="C128" s="123"/>
      <c r="D128" s="123"/>
      <c r="E128" s="123"/>
      <c r="F128" s="123"/>
      <c r="G128" s="123"/>
      <c r="H128" s="121"/>
      <c r="I128" s="121"/>
      <c r="J128" s="121"/>
      <c r="K128" s="121"/>
      <c r="L128" s="121"/>
      <c r="M128" s="121"/>
      <c r="N128" s="121"/>
      <c r="O128" s="121"/>
      <c r="P128" s="121"/>
      <c r="Q128" s="121"/>
      <c r="R128" s="121"/>
      <c r="S128" s="121"/>
      <c r="T128" s="121"/>
      <c r="U128" s="121"/>
      <c r="V128" s="121"/>
    </row>
    <row r="129" spans="2:22" x14ac:dyDescent="0.3">
      <c r="B129" s="123"/>
      <c r="C129" s="123"/>
      <c r="D129" s="123"/>
      <c r="E129" s="123"/>
      <c r="F129" s="123"/>
      <c r="G129" s="123"/>
      <c r="H129" s="121"/>
      <c r="I129" s="121"/>
      <c r="J129" s="121"/>
      <c r="K129" s="121"/>
      <c r="L129" s="121"/>
      <c r="M129" s="121"/>
      <c r="N129" s="121"/>
      <c r="O129" s="121"/>
      <c r="P129" s="121"/>
      <c r="Q129" s="121"/>
      <c r="R129" s="121"/>
      <c r="S129" s="121"/>
      <c r="T129" s="121"/>
      <c r="U129" s="121"/>
      <c r="V129" s="121"/>
    </row>
    <row r="130" spans="2:22" x14ac:dyDescent="0.3">
      <c r="B130" s="123"/>
      <c r="C130" s="123"/>
      <c r="D130" s="123"/>
      <c r="E130" s="123"/>
      <c r="F130" s="123"/>
      <c r="G130" s="123"/>
      <c r="H130" s="121"/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</row>
    <row r="131" spans="2:22" x14ac:dyDescent="0.3">
      <c r="B131" s="123"/>
      <c r="C131" s="123"/>
      <c r="D131" s="123"/>
      <c r="E131" s="123"/>
      <c r="F131" s="123"/>
      <c r="G131" s="123"/>
      <c r="H131" s="121"/>
      <c r="I131" s="121"/>
      <c r="J131" s="121"/>
      <c r="K131" s="121"/>
      <c r="L131" s="121"/>
      <c r="M131" s="121"/>
      <c r="N131" s="121"/>
      <c r="O131" s="121"/>
      <c r="P131" s="121"/>
      <c r="Q131" s="121"/>
      <c r="R131" s="121"/>
      <c r="S131" s="121"/>
      <c r="T131" s="121"/>
      <c r="U131" s="121"/>
      <c r="V131" s="121"/>
    </row>
    <row r="132" spans="2:22" x14ac:dyDescent="0.3">
      <c r="B132" s="123"/>
      <c r="C132" s="123"/>
      <c r="D132" s="123"/>
      <c r="E132" s="123"/>
      <c r="F132" s="123"/>
      <c r="G132" s="123"/>
      <c r="H132" s="121"/>
      <c r="I132" s="121"/>
      <c r="J132" s="121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  <c r="V132" s="121"/>
    </row>
    <row r="133" spans="2:22" x14ac:dyDescent="0.3">
      <c r="B133" s="123"/>
      <c r="C133" s="123"/>
      <c r="D133" s="123"/>
      <c r="E133" s="123"/>
      <c r="F133" s="123"/>
      <c r="G133" s="123"/>
      <c r="H133" s="121"/>
      <c r="I133" s="121"/>
      <c r="J133" s="121"/>
      <c r="K133" s="121"/>
      <c r="L133" s="121"/>
      <c r="M133" s="121"/>
      <c r="N133" s="121"/>
      <c r="O133" s="121"/>
      <c r="P133" s="121"/>
      <c r="Q133" s="121"/>
      <c r="R133" s="121"/>
      <c r="S133" s="121"/>
      <c r="T133" s="121"/>
      <c r="U133" s="121"/>
      <c r="V133" s="121"/>
    </row>
    <row r="134" spans="2:22" x14ac:dyDescent="0.3">
      <c r="B134" s="123"/>
      <c r="C134" s="123"/>
      <c r="D134" s="123"/>
      <c r="E134" s="123"/>
      <c r="F134" s="123"/>
      <c r="G134" s="123"/>
      <c r="H134" s="121"/>
      <c r="I134" s="121"/>
      <c r="J134" s="121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</row>
    <row r="135" spans="2:22" x14ac:dyDescent="0.3">
      <c r="B135" s="123"/>
      <c r="C135" s="123"/>
      <c r="D135" s="123"/>
      <c r="E135" s="123"/>
      <c r="F135" s="123"/>
      <c r="G135" s="123"/>
      <c r="H135" s="121"/>
      <c r="I135" s="121"/>
      <c r="J135" s="121"/>
      <c r="K135" s="121"/>
      <c r="L135" s="121"/>
      <c r="M135" s="121"/>
      <c r="N135" s="121"/>
      <c r="O135" s="121"/>
      <c r="P135" s="121"/>
      <c r="Q135" s="121"/>
      <c r="R135" s="121"/>
      <c r="S135" s="121"/>
      <c r="T135" s="121"/>
      <c r="U135" s="121"/>
      <c r="V135" s="121"/>
    </row>
    <row r="136" spans="2:22" x14ac:dyDescent="0.3">
      <c r="B136" s="123"/>
      <c r="C136" s="123"/>
      <c r="D136" s="123"/>
      <c r="E136" s="123"/>
      <c r="F136" s="123"/>
      <c r="G136" s="123"/>
      <c r="H136" s="121"/>
      <c r="I136" s="121"/>
      <c r="J136" s="121"/>
      <c r="K136" s="121"/>
      <c r="L136" s="121"/>
      <c r="M136" s="121"/>
      <c r="N136" s="121"/>
      <c r="O136" s="121"/>
      <c r="P136" s="121"/>
      <c r="Q136" s="121"/>
      <c r="R136" s="121"/>
      <c r="S136" s="121"/>
      <c r="T136" s="121"/>
      <c r="U136" s="121"/>
      <c r="V136" s="121"/>
    </row>
    <row r="137" spans="2:22" x14ac:dyDescent="0.3">
      <c r="B137" s="123"/>
      <c r="C137" s="123"/>
      <c r="D137" s="123"/>
      <c r="E137" s="123"/>
      <c r="F137" s="123"/>
      <c r="G137" s="123"/>
      <c r="H137" s="121"/>
      <c r="I137" s="121"/>
      <c r="J137" s="121"/>
      <c r="K137" s="121"/>
      <c r="L137" s="121"/>
      <c r="M137" s="121"/>
      <c r="N137" s="121"/>
      <c r="O137" s="121"/>
      <c r="P137" s="121"/>
      <c r="Q137" s="121"/>
      <c r="R137" s="121"/>
      <c r="S137" s="121"/>
      <c r="T137" s="121"/>
      <c r="U137" s="121"/>
      <c r="V137" s="121"/>
    </row>
    <row r="138" spans="2:22" x14ac:dyDescent="0.3">
      <c r="B138" s="123"/>
      <c r="C138" s="123"/>
      <c r="D138" s="123"/>
      <c r="E138" s="123"/>
      <c r="F138" s="123"/>
      <c r="G138" s="123"/>
      <c r="H138" s="121"/>
      <c r="I138" s="121"/>
      <c r="J138" s="121"/>
      <c r="K138" s="121"/>
      <c r="L138" s="121"/>
      <c r="M138" s="121"/>
      <c r="N138" s="121"/>
      <c r="O138" s="121"/>
      <c r="P138" s="121"/>
      <c r="Q138" s="121"/>
      <c r="R138" s="121"/>
      <c r="S138" s="121"/>
      <c r="T138" s="121"/>
      <c r="U138" s="121"/>
      <c r="V138" s="121"/>
    </row>
    <row r="139" spans="2:22" x14ac:dyDescent="0.3">
      <c r="B139" s="123"/>
      <c r="C139" s="123"/>
      <c r="D139" s="123"/>
      <c r="E139" s="123"/>
      <c r="F139" s="123"/>
      <c r="G139" s="123"/>
      <c r="H139" s="121"/>
      <c r="I139" s="121"/>
      <c r="J139" s="121"/>
      <c r="K139" s="121"/>
      <c r="L139" s="121"/>
      <c r="M139" s="121"/>
      <c r="N139" s="121"/>
      <c r="O139" s="121"/>
      <c r="P139" s="121"/>
      <c r="Q139" s="121"/>
      <c r="R139" s="121"/>
      <c r="S139" s="121"/>
      <c r="T139" s="121"/>
      <c r="U139" s="121"/>
      <c r="V139" s="121"/>
    </row>
    <row r="140" spans="2:22" x14ac:dyDescent="0.3">
      <c r="B140" s="123"/>
      <c r="C140" s="123"/>
      <c r="D140" s="123"/>
      <c r="E140" s="123"/>
      <c r="F140" s="123"/>
      <c r="G140" s="123"/>
      <c r="H140" s="121"/>
      <c r="I140" s="121"/>
      <c r="J140" s="121"/>
      <c r="K140" s="121"/>
      <c r="L140" s="121"/>
      <c r="M140" s="121"/>
      <c r="N140" s="121"/>
      <c r="O140" s="121"/>
      <c r="P140" s="121"/>
      <c r="Q140" s="121"/>
      <c r="R140" s="121"/>
      <c r="S140" s="121"/>
      <c r="T140" s="121"/>
      <c r="U140" s="121"/>
      <c r="V140" s="121"/>
    </row>
    <row r="141" spans="2:22" x14ac:dyDescent="0.3">
      <c r="B141" s="123"/>
      <c r="C141" s="123"/>
      <c r="D141" s="123"/>
      <c r="E141" s="123"/>
      <c r="F141" s="123"/>
      <c r="G141" s="123"/>
      <c r="H141" s="121"/>
      <c r="I141" s="121"/>
      <c r="J141" s="121"/>
      <c r="K141" s="121"/>
      <c r="L141" s="121"/>
      <c r="M141" s="121"/>
      <c r="N141" s="121"/>
      <c r="O141" s="121"/>
      <c r="P141" s="121"/>
      <c r="Q141" s="121"/>
      <c r="R141" s="121"/>
      <c r="S141" s="121"/>
      <c r="T141" s="121"/>
      <c r="U141" s="121"/>
      <c r="V141" s="121"/>
    </row>
    <row r="142" spans="2:22" x14ac:dyDescent="0.3">
      <c r="B142" s="123"/>
      <c r="C142" s="123"/>
      <c r="D142" s="123"/>
      <c r="E142" s="123"/>
      <c r="F142" s="123"/>
      <c r="G142" s="123"/>
      <c r="H142" s="121"/>
      <c r="I142" s="121"/>
      <c r="J142" s="121"/>
      <c r="K142" s="121"/>
      <c r="L142" s="121"/>
      <c r="M142" s="121"/>
      <c r="N142" s="121"/>
      <c r="O142" s="121"/>
      <c r="P142" s="121"/>
      <c r="Q142" s="121"/>
      <c r="R142" s="121"/>
      <c r="S142" s="121"/>
      <c r="T142" s="121"/>
      <c r="U142" s="121"/>
      <c r="V142" s="121"/>
    </row>
    <row r="143" spans="2:22" x14ac:dyDescent="0.3">
      <c r="B143" s="123"/>
      <c r="C143" s="123"/>
      <c r="D143" s="123"/>
      <c r="E143" s="123"/>
      <c r="F143" s="123"/>
      <c r="G143" s="123"/>
      <c r="H143" s="121"/>
      <c r="I143" s="121"/>
      <c r="J143" s="121"/>
      <c r="K143" s="121"/>
      <c r="L143" s="121"/>
      <c r="M143" s="121"/>
      <c r="N143" s="121"/>
      <c r="O143" s="121"/>
      <c r="P143" s="121"/>
      <c r="Q143" s="121"/>
      <c r="R143" s="121"/>
      <c r="S143" s="121"/>
      <c r="T143" s="121"/>
      <c r="U143" s="121"/>
      <c r="V143" s="121"/>
    </row>
    <row r="144" spans="2:22" x14ac:dyDescent="0.3">
      <c r="B144" s="123"/>
      <c r="C144" s="123"/>
      <c r="D144" s="123"/>
      <c r="E144" s="123"/>
      <c r="F144" s="123"/>
      <c r="G144" s="123"/>
      <c r="H144" s="121"/>
      <c r="I144" s="121"/>
      <c r="J144" s="121"/>
      <c r="K144" s="121"/>
      <c r="L144" s="121"/>
      <c r="M144" s="121"/>
      <c r="N144" s="121"/>
      <c r="O144" s="121"/>
      <c r="P144" s="121"/>
      <c r="Q144" s="121"/>
      <c r="R144" s="121"/>
      <c r="S144" s="121"/>
      <c r="T144" s="121"/>
      <c r="U144" s="121"/>
      <c r="V144" s="121"/>
    </row>
    <row r="145" spans="2:22" x14ac:dyDescent="0.3">
      <c r="B145" s="123"/>
      <c r="C145" s="123"/>
      <c r="D145" s="123"/>
      <c r="E145" s="123"/>
      <c r="F145" s="123"/>
      <c r="G145" s="123"/>
      <c r="H145" s="121"/>
      <c r="I145" s="121"/>
      <c r="J145" s="121"/>
      <c r="K145" s="121"/>
      <c r="L145" s="121"/>
      <c r="M145" s="121"/>
      <c r="N145" s="121"/>
      <c r="O145" s="121"/>
      <c r="P145" s="121"/>
      <c r="Q145" s="121"/>
      <c r="R145" s="121"/>
      <c r="S145" s="121"/>
      <c r="T145" s="121"/>
      <c r="U145" s="121"/>
      <c r="V145" s="121"/>
    </row>
    <row r="146" spans="2:22" x14ac:dyDescent="0.3">
      <c r="B146" s="123"/>
      <c r="C146" s="123"/>
      <c r="D146" s="123"/>
      <c r="E146" s="123"/>
      <c r="F146" s="123"/>
      <c r="G146" s="123"/>
      <c r="H146" s="121"/>
      <c r="I146" s="121"/>
      <c r="J146" s="121"/>
      <c r="K146" s="121"/>
      <c r="L146" s="121"/>
      <c r="M146" s="121"/>
      <c r="N146" s="121"/>
      <c r="O146" s="121"/>
      <c r="P146" s="121"/>
      <c r="Q146" s="121"/>
      <c r="R146" s="121"/>
      <c r="S146" s="121"/>
      <c r="T146" s="121"/>
      <c r="U146" s="121"/>
      <c r="V146" s="121"/>
    </row>
    <row r="147" spans="2:22" x14ac:dyDescent="0.3">
      <c r="B147" s="123"/>
      <c r="C147" s="123"/>
      <c r="D147" s="123"/>
      <c r="E147" s="123"/>
      <c r="F147" s="123"/>
      <c r="G147" s="123"/>
      <c r="H147" s="121"/>
      <c r="I147" s="121"/>
      <c r="J147" s="121"/>
      <c r="K147" s="121"/>
      <c r="L147" s="121"/>
      <c r="M147" s="121"/>
      <c r="N147" s="121"/>
      <c r="O147" s="121"/>
      <c r="P147" s="121"/>
      <c r="Q147" s="121"/>
      <c r="R147" s="121"/>
      <c r="S147" s="121"/>
      <c r="T147" s="121"/>
      <c r="U147" s="121"/>
      <c r="V147" s="121"/>
    </row>
    <row r="148" spans="2:22" x14ac:dyDescent="0.3">
      <c r="B148" s="123"/>
      <c r="C148" s="123"/>
      <c r="D148" s="123"/>
      <c r="E148" s="123"/>
      <c r="F148" s="123"/>
      <c r="G148" s="123"/>
      <c r="H148" s="121"/>
      <c r="I148" s="121"/>
      <c r="J148" s="121"/>
      <c r="K148" s="121"/>
      <c r="L148" s="121"/>
      <c r="M148" s="121"/>
      <c r="N148" s="121"/>
      <c r="O148" s="121"/>
      <c r="P148" s="121"/>
      <c r="Q148" s="121"/>
      <c r="R148" s="121"/>
      <c r="S148" s="121"/>
      <c r="T148" s="121"/>
      <c r="U148" s="121"/>
      <c r="V148" s="121"/>
    </row>
    <row r="149" spans="2:22" x14ac:dyDescent="0.3">
      <c r="B149" s="123"/>
      <c r="C149" s="123"/>
      <c r="D149" s="123"/>
      <c r="E149" s="123"/>
      <c r="F149" s="123"/>
      <c r="G149" s="123"/>
      <c r="H149" s="121"/>
      <c r="I149" s="121"/>
      <c r="J149" s="121"/>
      <c r="K149" s="121"/>
      <c r="L149" s="121"/>
      <c r="M149" s="121"/>
      <c r="N149" s="121"/>
      <c r="O149" s="121"/>
      <c r="P149" s="121"/>
      <c r="Q149" s="121"/>
      <c r="R149" s="121"/>
      <c r="S149" s="121"/>
      <c r="T149" s="121"/>
      <c r="U149" s="121"/>
      <c r="V149" s="121"/>
    </row>
    <row r="150" spans="2:22" x14ac:dyDescent="0.3">
      <c r="B150" s="123"/>
      <c r="C150" s="123"/>
      <c r="D150" s="123"/>
      <c r="E150" s="123"/>
      <c r="F150" s="123"/>
      <c r="G150" s="123"/>
      <c r="H150" s="121"/>
      <c r="I150" s="121"/>
      <c r="J150" s="121"/>
      <c r="K150" s="121"/>
      <c r="L150" s="121"/>
      <c r="M150" s="121"/>
      <c r="N150" s="121"/>
      <c r="O150" s="121"/>
      <c r="P150" s="121"/>
      <c r="Q150" s="121"/>
      <c r="R150" s="121"/>
      <c r="S150" s="121"/>
      <c r="T150" s="121"/>
      <c r="U150" s="121"/>
      <c r="V150" s="121"/>
    </row>
    <row r="151" spans="2:22" x14ac:dyDescent="0.3">
      <c r="B151" s="123"/>
      <c r="C151" s="123"/>
      <c r="D151" s="123"/>
      <c r="E151" s="123"/>
      <c r="F151" s="123"/>
      <c r="G151" s="123"/>
      <c r="H151" s="121"/>
      <c r="I151" s="121"/>
      <c r="J151" s="121"/>
      <c r="K151" s="121"/>
      <c r="L151" s="121"/>
      <c r="M151" s="121"/>
      <c r="N151" s="121"/>
      <c r="O151" s="121"/>
      <c r="P151" s="121"/>
      <c r="Q151" s="121"/>
      <c r="R151" s="121"/>
      <c r="S151" s="121"/>
      <c r="T151" s="121"/>
      <c r="U151" s="121"/>
      <c r="V151" s="121"/>
    </row>
    <row r="152" spans="2:22" x14ac:dyDescent="0.3">
      <c r="B152" s="123"/>
      <c r="C152" s="123"/>
      <c r="D152" s="123"/>
      <c r="E152" s="123"/>
      <c r="F152" s="123"/>
      <c r="G152" s="123"/>
      <c r="H152" s="121"/>
      <c r="I152" s="121"/>
      <c r="J152" s="121"/>
      <c r="K152" s="121"/>
      <c r="L152" s="121"/>
      <c r="M152" s="121"/>
      <c r="N152" s="121"/>
      <c r="O152" s="121"/>
      <c r="P152" s="121"/>
      <c r="Q152" s="121"/>
      <c r="R152" s="121"/>
      <c r="S152" s="121"/>
      <c r="T152" s="121"/>
      <c r="U152" s="121"/>
      <c r="V152" s="121"/>
    </row>
    <row r="153" spans="2:22" x14ac:dyDescent="0.3">
      <c r="B153" s="123"/>
      <c r="C153" s="123"/>
      <c r="D153" s="123"/>
      <c r="E153" s="123"/>
      <c r="F153" s="123"/>
      <c r="G153" s="123"/>
      <c r="H153" s="121"/>
      <c r="I153" s="121"/>
      <c r="J153" s="121"/>
      <c r="K153" s="121"/>
      <c r="L153" s="121"/>
      <c r="M153" s="121"/>
      <c r="N153" s="121"/>
      <c r="O153" s="121"/>
      <c r="P153" s="121"/>
      <c r="Q153" s="121"/>
      <c r="R153" s="121"/>
      <c r="S153" s="121"/>
      <c r="T153" s="121"/>
      <c r="U153" s="121"/>
      <c r="V153" s="121"/>
    </row>
    <row r="154" spans="2:22" x14ac:dyDescent="0.3">
      <c r="B154" s="123"/>
      <c r="C154" s="123"/>
      <c r="D154" s="123"/>
      <c r="E154" s="123"/>
      <c r="F154" s="123"/>
      <c r="G154" s="123"/>
      <c r="H154" s="121"/>
      <c r="I154" s="121"/>
      <c r="J154" s="121"/>
      <c r="K154" s="121"/>
      <c r="L154" s="121"/>
      <c r="M154" s="121"/>
      <c r="N154" s="121"/>
      <c r="O154" s="121"/>
      <c r="P154" s="121"/>
      <c r="Q154" s="121"/>
      <c r="R154" s="121"/>
      <c r="S154" s="121"/>
      <c r="T154" s="121"/>
      <c r="U154" s="121"/>
      <c r="V154" s="121"/>
    </row>
    <row r="155" spans="2:22" x14ac:dyDescent="0.3">
      <c r="B155" s="123"/>
      <c r="C155" s="123"/>
      <c r="D155" s="123"/>
      <c r="E155" s="123"/>
      <c r="F155" s="123"/>
      <c r="G155" s="123"/>
      <c r="H155" s="121"/>
      <c r="I155" s="121"/>
      <c r="J155" s="121"/>
      <c r="K155" s="121"/>
      <c r="L155" s="121"/>
      <c r="M155" s="121"/>
      <c r="N155" s="121"/>
      <c r="O155" s="121"/>
      <c r="P155" s="121"/>
      <c r="Q155" s="121"/>
      <c r="R155" s="121"/>
      <c r="S155" s="121"/>
      <c r="T155" s="121"/>
      <c r="U155" s="121"/>
      <c r="V155" s="121"/>
    </row>
    <row r="156" spans="2:22" x14ac:dyDescent="0.3">
      <c r="B156" s="123"/>
      <c r="C156" s="123"/>
      <c r="D156" s="123"/>
      <c r="E156" s="123"/>
      <c r="F156" s="123"/>
      <c r="G156" s="123"/>
      <c r="H156" s="121"/>
      <c r="I156" s="121"/>
      <c r="J156" s="121"/>
      <c r="K156" s="121"/>
      <c r="L156" s="121"/>
      <c r="M156" s="121"/>
      <c r="N156" s="121"/>
      <c r="O156" s="121"/>
      <c r="P156" s="121"/>
      <c r="Q156" s="121"/>
      <c r="R156" s="121"/>
      <c r="S156" s="121"/>
      <c r="T156" s="121"/>
      <c r="U156" s="121"/>
      <c r="V156" s="121"/>
    </row>
    <row r="157" spans="2:22" x14ac:dyDescent="0.3">
      <c r="B157" s="123"/>
      <c r="C157" s="123"/>
      <c r="D157" s="123"/>
      <c r="E157" s="123"/>
      <c r="F157" s="123"/>
      <c r="G157" s="123"/>
      <c r="H157" s="121"/>
      <c r="I157" s="121"/>
      <c r="J157" s="121"/>
      <c r="K157" s="121"/>
      <c r="L157" s="121"/>
      <c r="M157" s="121"/>
      <c r="N157" s="121"/>
      <c r="O157" s="121"/>
      <c r="P157" s="121"/>
      <c r="Q157" s="121"/>
      <c r="R157" s="121"/>
      <c r="S157" s="121"/>
      <c r="T157" s="121"/>
      <c r="U157" s="121"/>
      <c r="V157" s="121"/>
    </row>
    <row r="158" spans="2:22" x14ac:dyDescent="0.3">
      <c r="B158" s="123"/>
      <c r="C158" s="123"/>
      <c r="D158" s="123"/>
      <c r="E158" s="123"/>
      <c r="F158" s="123"/>
      <c r="G158" s="123"/>
      <c r="H158" s="121"/>
      <c r="I158" s="121"/>
      <c r="J158" s="121"/>
      <c r="K158" s="121"/>
      <c r="L158" s="121"/>
      <c r="M158" s="121"/>
      <c r="N158" s="121"/>
      <c r="O158" s="121"/>
      <c r="P158" s="121"/>
      <c r="Q158" s="121"/>
      <c r="R158" s="121"/>
      <c r="S158" s="121"/>
      <c r="T158" s="121"/>
      <c r="U158" s="121"/>
      <c r="V158" s="121"/>
    </row>
    <row r="159" spans="2:22" x14ac:dyDescent="0.3">
      <c r="B159" s="123"/>
      <c r="C159" s="123"/>
      <c r="D159" s="123"/>
      <c r="E159" s="123"/>
      <c r="F159" s="123"/>
      <c r="G159" s="123"/>
      <c r="H159" s="121"/>
      <c r="I159" s="121"/>
      <c r="J159" s="121"/>
      <c r="K159" s="121"/>
      <c r="L159" s="121"/>
      <c r="M159" s="121"/>
      <c r="N159" s="121"/>
      <c r="O159" s="121"/>
      <c r="P159" s="121"/>
      <c r="Q159" s="121"/>
      <c r="R159" s="121"/>
      <c r="S159" s="121"/>
      <c r="T159" s="121"/>
      <c r="U159" s="121"/>
      <c r="V159" s="121"/>
    </row>
    <row r="160" spans="2:22" x14ac:dyDescent="0.3">
      <c r="B160" s="123"/>
      <c r="C160" s="123"/>
      <c r="D160" s="123"/>
      <c r="E160" s="123"/>
      <c r="F160" s="123"/>
      <c r="G160" s="123"/>
      <c r="H160" s="121"/>
      <c r="I160" s="121"/>
      <c r="J160" s="121"/>
      <c r="K160" s="121"/>
      <c r="L160" s="121"/>
      <c r="M160" s="121"/>
      <c r="N160" s="121"/>
      <c r="O160" s="121"/>
      <c r="P160" s="121"/>
      <c r="Q160" s="121"/>
      <c r="R160" s="121"/>
      <c r="S160" s="121"/>
      <c r="T160" s="121"/>
      <c r="U160" s="121"/>
      <c r="V160" s="121"/>
    </row>
    <row r="161" spans="2:22" x14ac:dyDescent="0.3">
      <c r="B161" s="123"/>
      <c r="C161" s="123"/>
      <c r="D161" s="123"/>
      <c r="E161" s="123"/>
      <c r="F161" s="123"/>
      <c r="G161" s="123"/>
      <c r="H161" s="121"/>
      <c r="I161" s="121"/>
      <c r="J161" s="121"/>
      <c r="K161" s="121"/>
      <c r="L161" s="121"/>
      <c r="M161" s="121"/>
      <c r="N161" s="121"/>
      <c r="O161" s="121"/>
      <c r="P161" s="121"/>
      <c r="Q161" s="121"/>
      <c r="R161" s="121"/>
      <c r="S161" s="121"/>
      <c r="T161" s="121"/>
      <c r="U161" s="121"/>
      <c r="V161" s="121"/>
    </row>
    <row r="162" spans="2:22" x14ac:dyDescent="0.3">
      <c r="B162" s="123"/>
      <c r="C162" s="123"/>
      <c r="D162" s="123"/>
      <c r="E162" s="123"/>
      <c r="F162" s="123"/>
      <c r="G162" s="123"/>
      <c r="H162" s="121"/>
      <c r="I162" s="121"/>
      <c r="J162" s="121"/>
      <c r="K162" s="121"/>
      <c r="L162" s="121"/>
      <c r="M162" s="121"/>
      <c r="N162" s="121"/>
      <c r="O162" s="121"/>
      <c r="P162" s="121"/>
      <c r="Q162" s="121"/>
      <c r="R162" s="121"/>
      <c r="S162" s="121"/>
      <c r="T162" s="121"/>
      <c r="U162" s="121"/>
      <c r="V162" s="121"/>
    </row>
    <row r="163" spans="2:22" x14ac:dyDescent="0.3">
      <c r="B163" s="123"/>
      <c r="C163" s="123"/>
      <c r="D163" s="123"/>
      <c r="E163" s="123"/>
      <c r="F163" s="123"/>
      <c r="G163" s="123"/>
      <c r="H163" s="121"/>
      <c r="I163" s="121"/>
      <c r="J163" s="121"/>
      <c r="K163" s="121"/>
      <c r="L163" s="121"/>
      <c r="M163" s="121"/>
      <c r="N163" s="121"/>
      <c r="O163" s="121"/>
      <c r="P163" s="121"/>
      <c r="Q163" s="121"/>
      <c r="R163" s="121"/>
      <c r="S163" s="121"/>
      <c r="T163" s="121"/>
      <c r="U163" s="121"/>
      <c r="V163" s="121"/>
    </row>
    <row r="164" spans="2:22" x14ac:dyDescent="0.3">
      <c r="B164" s="123"/>
      <c r="C164" s="123"/>
      <c r="D164" s="123"/>
      <c r="E164" s="123"/>
      <c r="F164" s="123"/>
      <c r="G164" s="123"/>
      <c r="H164" s="121"/>
      <c r="I164" s="121"/>
      <c r="J164" s="121"/>
      <c r="K164" s="121"/>
      <c r="L164" s="121"/>
      <c r="M164" s="121"/>
      <c r="N164" s="121"/>
      <c r="O164" s="121"/>
      <c r="P164" s="121"/>
      <c r="Q164" s="121"/>
      <c r="R164" s="121"/>
      <c r="S164" s="121"/>
      <c r="T164" s="121"/>
      <c r="U164" s="121"/>
      <c r="V164" s="121"/>
    </row>
    <row r="165" spans="2:22" x14ac:dyDescent="0.3">
      <c r="B165" s="123"/>
      <c r="C165" s="123"/>
      <c r="D165" s="123"/>
      <c r="E165" s="123"/>
      <c r="F165" s="123"/>
      <c r="G165" s="123"/>
      <c r="H165" s="121"/>
      <c r="I165" s="121"/>
      <c r="J165" s="121"/>
      <c r="K165" s="121"/>
      <c r="L165" s="121"/>
      <c r="M165" s="121"/>
      <c r="N165" s="121"/>
      <c r="O165" s="121"/>
      <c r="P165" s="121"/>
      <c r="Q165" s="121"/>
      <c r="R165" s="121"/>
      <c r="S165" s="121"/>
      <c r="T165" s="121"/>
      <c r="U165" s="121"/>
      <c r="V165" s="121"/>
    </row>
    <row r="166" spans="2:22" x14ac:dyDescent="0.3">
      <c r="B166" s="123"/>
      <c r="C166" s="123"/>
      <c r="D166" s="123"/>
      <c r="E166" s="123"/>
      <c r="F166" s="123"/>
      <c r="G166" s="123"/>
      <c r="H166" s="121"/>
      <c r="I166" s="121"/>
      <c r="J166" s="121"/>
      <c r="K166" s="121"/>
      <c r="L166" s="121"/>
      <c r="M166" s="121"/>
      <c r="N166" s="121"/>
      <c r="O166" s="121"/>
      <c r="P166" s="121"/>
      <c r="Q166" s="121"/>
      <c r="R166" s="121"/>
      <c r="S166" s="121"/>
      <c r="T166" s="121"/>
      <c r="U166" s="121"/>
      <c r="V166" s="121"/>
    </row>
    <row r="167" spans="2:22" x14ac:dyDescent="0.3">
      <c r="B167" s="123"/>
      <c r="C167" s="123"/>
      <c r="D167" s="123"/>
      <c r="E167" s="123"/>
      <c r="F167" s="123"/>
      <c r="G167" s="123"/>
      <c r="H167" s="121"/>
      <c r="I167" s="121"/>
      <c r="J167" s="121"/>
      <c r="K167" s="121"/>
      <c r="L167" s="121"/>
      <c r="M167" s="121"/>
      <c r="N167" s="121"/>
      <c r="O167" s="121"/>
      <c r="P167" s="121"/>
      <c r="Q167" s="121"/>
      <c r="R167" s="121"/>
      <c r="S167" s="121"/>
      <c r="T167" s="121"/>
      <c r="U167" s="121"/>
      <c r="V167" s="121"/>
    </row>
    <row r="168" spans="2:22" x14ac:dyDescent="0.3">
      <c r="B168" s="123"/>
      <c r="C168" s="123"/>
      <c r="D168" s="123"/>
      <c r="E168" s="123"/>
      <c r="F168" s="123"/>
      <c r="G168" s="123"/>
      <c r="H168" s="121"/>
      <c r="I168" s="121"/>
      <c r="J168" s="121"/>
      <c r="K168" s="121"/>
      <c r="L168" s="121"/>
      <c r="M168" s="121"/>
      <c r="N168" s="121"/>
      <c r="O168" s="121"/>
      <c r="P168" s="121"/>
      <c r="Q168" s="121"/>
      <c r="R168" s="121"/>
      <c r="S168" s="121"/>
      <c r="T168" s="121"/>
      <c r="U168" s="121"/>
      <c r="V168" s="121"/>
    </row>
    <row r="169" spans="2:22" x14ac:dyDescent="0.3">
      <c r="B169" s="123"/>
      <c r="C169" s="123"/>
      <c r="D169" s="123"/>
      <c r="E169" s="123"/>
      <c r="F169" s="123"/>
      <c r="G169" s="123"/>
      <c r="H169" s="121"/>
      <c r="I169" s="121"/>
      <c r="J169" s="121"/>
      <c r="K169" s="121"/>
      <c r="L169" s="121"/>
      <c r="M169" s="121"/>
      <c r="N169" s="121"/>
      <c r="O169" s="121"/>
      <c r="P169" s="121"/>
      <c r="Q169" s="121"/>
      <c r="R169" s="121"/>
      <c r="S169" s="121"/>
      <c r="T169" s="121"/>
      <c r="U169" s="121"/>
      <c r="V169" s="121"/>
    </row>
    <row r="170" spans="2:22" x14ac:dyDescent="0.3">
      <c r="B170" s="123"/>
      <c r="C170" s="123"/>
      <c r="D170" s="123"/>
      <c r="E170" s="123"/>
      <c r="F170" s="123"/>
      <c r="G170" s="123"/>
      <c r="H170" s="121"/>
      <c r="I170" s="121"/>
      <c r="J170" s="121"/>
      <c r="K170" s="121"/>
      <c r="L170" s="121"/>
      <c r="M170" s="121"/>
      <c r="N170" s="121"/>
      <c r="O170" s="121"/>
      <c r="P170" s="121"/>
      <c r="Q170" s="121"/>
      <c r="R170" s="121"/>
      <c r="S170" s="121"/>
      <c r="T170" s="121"/>
      <c r="U170" s="121"/>
      <c r="V170" s="121"/>
    </row>
    <row r="171" spans="2:22" x14ac:dyDescent="0.3">
      <c r="B171" s="123"/>
      <c r="C171" s="123"/>
      <c r="D171" s="123"/>
      <c r="E171" s="123"/>
      <c r="F171" s="123"/>
      <c r="G171" s="123"/>
      <c r="H171" s="121"/>
      <c r="I171" s="121"/>
      <c r="J171" s="121"/>
      <c r="K171" s="121"/>
      <c r="L171" s="121"/>
      <c r="M171" s="121"/>
      <c r="N171" s="121"/>
      <c r="O171" s="121"/>
      <c r="P171" s="121"/>
      <c r="Q171" s="121"/>
      <c r="R171" s="121"/>
      <c r="S171" s="121"/>
      <c r="T171" s="121"/>
      <c r="U171" s="121"/>
      <c r="V171" s="121"/>
    </row>
    <row r="172" spans="2:22" x14ac:dyDescent="0.3">
      <c r="B172" s="123"/>
      <c r="C172" s="123"/>
      <c r="D172" s="123"/>
      <c r="E172" s="123"/>
      <c r="F172" s="123"/>
      <c r="G172" s="123"/>
      <c r="H172" s="121"/>
      <c r="I172" s="121"/>
      <c r="J172" s="121"/>
      <c r="K172" s="121"/>
      <c r="L172" s="121"/>
      <c r="M172" s="121"/>
      <c r="N172" s="121"/>
      <c r="O172" s="121"/>
      <c r="P172" s="121"/>
      <c r="Q172" s="121"/>
      <c r="R172" s="121"/>
      <c r="S172" s="121"/>
      <c r="T172" s="121"/>
      <c r="U172" s="121"/>
      <c r="V172" s="121"/>
    </row>
    <row r="173" spans="2:22" x14ac:dyDescent="0.3">
      <c r="B173" s="123"/>
      <c r="C173" s="123"/>
      <c r="D173" s="123"/>
      <c r="E173" s="123"/>
      <c r="F173" s="123"/>
      <c r="G173" s="123"/>
      <c r="H173" s="121"/>
      <c r="I173" s="121"/>
      <c r="J173" s="121"/>
      <c r="K173" s="121"/>
      <c r="L173" s="121"/>
      <c r="M173" s="121"/>
      <c r="N173" s="121"/>
      <c r="O173" s="121"/>
      <c r="P173" s="121"/>
      <c r="Q173" s="121"/>
      <c r="R173" s="121"/>
      <c r="S173" s="121"/>
      <c r="T173" s="121"/>
      <c r="U173" s="121"/>
      <c r="V173" s="121"/>
    </row>
    <row r="174" spans="2:22" x14ac:dyDescent="0.3">
      <c r="B174" s="123"/>
      <c r="C174" s="123"/>
      <c r="D174" s="123"/>
      <c r="E174" s="123"/>
      <c r="F174" s="123"/>
      <c r="G174" s="123"/>
      <c r="H174" s="121"/>
      <c r="I174" s="121"/>
      <c r="J174" s="121"/>
      <c r="K174" s="121"/>
      <c r="L174" s="121"/>
      <c r="M174" s="121"/>
      <c r="N174" s="121"/>
      <c r="O174" s="121"/>
      <c r="P174" s="121"/>
      <c r="Q174" s="121"/>
      <c r="R174" s="121"/>
      <c r="S174" s="121"/>
      <c r="T174" s="121"/>
      <c r="U174" s="121"/>
      <c r="V174" s="121"/>
    </row>
    <row r="175" spans="2:22" x14ac:dyDescent="0.3">
      <c r="B175" s="123"/>
      <c r="C175" s="123"/>
      <c r="D175" s="123"/>
      <c r="E175" s="123"/>
      <c r="F175" s="123"/>
      <c r="G175" s="123"/>
      <c r="H175" s="121"/>
      <c r="I175" s="121"/>
      <c r="J175" s="121"/>
      <c r="K175" s="121"/>
      <c r="L175" s="121"/>
      <c r="M175" s="121"/>
      <c r="N175" s="121"/>
      <c r="O175" s="121"/>
      <c r="P175" s="121"/>
      <c r="Q175" s="121"/>
      <c r="R175" s="121"/>
      <c r="S175" s="121"/>
      <c r="T175" s="121"/>
      <c r="U175" s="121"/>
      <c r="V175" s="121"/>
    </row>
    <row r="176" spans="2:22" x14ac:dyDescent="0.3">
      <c r="B176" s="123"/>
      <c r="C176" s="123"/>
      <c r="D176" s="123"/>
      <c r="E176" s="123"/>
      <c r="F176" s="123"/>
      <c r="G176" s="123"/>
      <c r="H176" s="121"/>
      <c r="I176" s="121"/>
      <c r="J176" s="121"/>
      <c r="K176" s="121"/>
      <c r="L176" s="121"/>
      <c r="M176" s="121"/>
      <c r="N176" s="121"/>
      <c r="O176" s="121"/>
      <c r="P176" s="121"/>
      <c r="Q176" s="121"/>
      <c r="R176" s="121"/>
      <c r="S176" s="121"/>
      <c r="T176" s="121"/>
      <c r="U176" s="121"/>
      <c r="V176" s="121"/>
    </row>
    <row r="177" spans="2:22" x14ac:dyDescent="0.3">
      <c r="B177" s="123"/>
      <c r="C177" s="123"/>
      <c r="D177" s="123"/>
      <c r="E177" s="123"/>
      <c r="F177" s="123"/>
      <c r="G177" s="123"/>
      <c r="H177" s="121"/>
      <c r="I177" s="121"/>
      <c r="J177" s="121"/>
      <c r="K177" s="121"/>
      <c r="L177" s="121"/>
      <c r="M177" s="121"/>
      <c r="N177" s="121"/>
      <c r="O177" s="121"/>
      <c r="P177" s="121"/>
      <c r="Q177" s="121"/>
      <c r="R177" s="121"/>
      <c r="S177" s="121"/>
      <c r="T177" s="121"/>
      <c r="U177" s="121"/>
      <c r="V177" s="121"/>
    </row>
    <row r="178" spans="2:22" x14ac:dyDescent="0.3">
      <c r="B178" s="123"/>
      <c r="C178" s="123"/>
      <c r="D178" s="123"/>
      <c r="E178" s="123"/>
      <c r="F178" s="123"/>
      <c r="G178" s="123"/>
      <c r="H178" s="121"/>
      <c r="I178" s="121"/>
      <c r="J178" s="121"/>
      <c r="K178" s="121"/>
      <c r="L178" s="121"/>
      <c r="M178" s="121"/>
      <c r="N178" s="121"/>
      <c r="O178" s="121"/>
      <c r="P178" s="121"/>
      <c r="Q178" s="121"/>
      <c r="R178" s="121"/>
      <c r="S178" s="121"/>
      <c r="T178" s="121"/>
      <c r="U178" s="121"/>
      <c r="V178" s="121"/>
    </row>
    <row r="179" spans="2:22" x14ac:dyDescent="0.3">
      <c r="B179" s="123"/>
      <c r="C179" s="123"/>
      <c r="D179" s="123"/>
      <c r="E179" s="123"/>
      <c r="F179" s="123"/>
      <c r="G179" s="123"/>
      <c r="H179" s="121"/>
      <c r="I179" s="121"/>
      <c r="J179" s="121"/>
      <c r="K179" s="121"/>
      <c r="L179" s="121"/>
      <c r="M179" s="121"/>
      <c r="N179" s="121"/>
      <c r="O179" s="121"/>
      <c r="P179" s="121"/>
      <c r="Q179" s="121"/>
      <c r="R179" s="121"/>
      <c r="S179" s="121"/>
      <c r="T179" s="121"/>
      <c r="U179" s="121"/>
      <c r="V179" s="121"/>
    </row>
    <row r="180" spans="2:22" x14ac:dyDescent="0.3">
      <c r="B180" s="123"/>
      <c r="C180" s="123"/>
      <c r="D180" s="123"/>
      <c r="E180" s="123"/>
      <c r="F180" s="123"/>
      <c r="G180" s="123"/>
      <c r="H180" s="121"/>
      <c r="I180" s="121"/>
      <c r="J180" s="121"/>
      <c r="K180" s="121"/>
      <c r="L180" s="121"/>
      <c r="M180" s="121"/>
      <c r="N180" s="121"/>
      <c r="O180" s="121"/>
      <c r="P180" s="121"/>
      <c r="Q180" s="121"/>
      <c r="R180" s="121"/>
      <c r="S180" s="121"/>
      <c r="T180" s="121"/>
      <c r="U180" s="121"/>
      <c r="V180" s="121"/>
    </row>
    <row r="181" spans="2:22" x14ac:dyDescent="0.3">
      <c r="B181" s="123"/>
      <c r="C181" s="123"/>
      <c r="D181" s="123"/>
      <c r="E181" s="123"/>
      <c r="F181" s="123"/>
      <c r="G181" s="123"/>
      <c r="H181" s="121"/>
      <c r="I181" s="121"/>
      <c r="J181" s="121"/>
      <c r="K181" s="121"/>
      <c r="L181" s="121"/>
      <c r="M181" s="121"/>
      <c r="N181" s="121"/>
      <c r="O181" s="121"/>
      <c r="P181" s="121"/>
      <c r="Q181" s="121"/>
      <c r="R181" s="121"/>
      <c r="S181" s="121"/>
      <c r="T181" s="121"/>
      <c r="U181" s="121"/>
      <c r="V181" s="121"/>
    </row>
    <row r="182" spans="2:22" x14ac:dyDescent="0.3">
      <c r="B182" s="123"/>
      <c r="C182" s="123"/>
      <c r="D182" s="123"/>
      <c r="E182" s="123"/>
      <c r="F182" s="123"/>
      <c r="G182" s="123"/>
      <c r="H182" s="121"/>
      <c r="I182" s="121"/>
      <c r="J182" s="121"/>
      <c r="K182" s="121"/>
      <c r="L182" s="121"/>
      <c r="M182" s="121"/>
      <c r="N182" s="121"/>
      <c r="O182" s="121"/>
      <c r="P182" s="121"/>
      <c r="Q182" s="121"/>
      <c r="R182" s="121"/>
      <c r="S182" s="121"/>
      <c r="T182" s="121"/>
      <c r="U182" s="121"/>
      <c r="V182" s="121"/>
    </row>
    <row r="183" spans="2:22" x14ac:dyDescent="0.3">
      <c r="B183" s="123"/>
      <c r="C183" s="123"/>
      <c r="D183" s="123"/>
      <c r="E183" s="123"/>
      <c r="F183" s="123"/>
      <c r="G183" s="123"/>
      <c r="H183" s="121"/>
      <c r="I183" s="121"/>
      <c r="J183" s="121"/>
      <c r="K183" s="121"/>
      <c r="L183" s="121"/>
      <c r="M183" s="121"/>
      <c r="N183" s="121"/>
      <c r="O183" s="121"/>
      <c r="P183" s="121"/>
      <c r="Q183" s="121"/>
      <c r="R183" s="121"/>
      <c r="S183" s="121"/>
      <c r="T183" s="121"/>
      <c r="U183" s="121"/>
      <c r="V183" s="121"/>
    </row>
    <row r="184" spans="2:22" x14ac:dyDescent="0.3">
      <c r="B184" s="123"/>
      <c r="C184" s="123"/>
      <c r="D184" s="123"/>
      <c r="E184" s="123"/>
      <c r="F184" s="123"/>
      <c r="G184" s="123"/>
      <c r="H184" s="121"/>
      <c r="I184" s="121"/>
      <c r="J184" s="121"/>
      <c r="K184" s="121"/>
      <c r="L184" s="121"/>
      <c r="M184" s="121"/>
      <c r="N184" s="121"/>
      <c r="O184" s="121"/>
      <c r="P184" s="121"/>
      <c r="Q184" s="121"/>
      <c r="R184" s="121"/>
      <c r="S184" s="121"/>
      <c r="T184" s="121"/>
      <c r="U184" s="121"/>
      <c r="V184" s="121"/>
    </row>
    <row r="185" spans="2:22" x14ac:dyDescent="0.3">
      <c r="B185" s="123"/>
      <c r="C185" s="123"/>
      <c r="D185" s="123"/>
      <c r="E185" s="123"/>
      <c r="F185" s="123"/>
      <c r="G185" s="123"/>
      <c r="H185" s="121"/>
      <c r="I185" s="121"/>
      <c r="J185" s="121"/>
      <c r="K185" s="121"/>
      <c r="L185" s="121"/>
      <c r="M185" s="121"/>
      <c r="N185" s="121"/>
      <c r="O185" s="121"/>
      <c r="P185" s="121"/>
      <c r="Q185" s="121"/>
      <c r="R185" s="121"/>
      <c r="S185" s="121"/>
      <c r="T185" s="121"/>
      <c r="U185" s="121"/>
      <c r="V185" s="121"/>
    </row>
    <row r="186" spans="2:22" x14ac:dyDescent="0.3">
      <c r="B186" s="123"/>
      <c r="C186" s="123"/>
      <c r="D186" s="123"/>
      <c r="E186" s="123"/>
      <c r="F186" s="123"/>
      <c r="G186" s="123"/>
      <c r="H186" s="121"/>
      <c r="I186" s="121"/>
      <c r="J186" s="121"/>
      <c r="K186" s="121"/>
      <c r="L186" s="121"/>
      <c r="M186" s="121"/>
      <c r="N186" s="121"/>
      <c r="O186" s="121"/>
      <c r="P186" s="121"/>
      <c r="Q186" s="121"/>
      <c r="R186" s="121"/>
      <c r="S186" s="121"/>
      <c r="T186" s="121"/>
      <c r="U186" s="121"/>
      <c r="V186" s="121"/>
    </row>
    <row r="187" spans="2:22" x14ac:dyDescent="0.3">
      <c r="B187" s="123"/>
      <c r="C187" s="123"/>
      <c r="D187" s="123"/>
      <c r="E187" s="123"/>
      <c r="F187" s="123"/>
      <c r="G187" s="123"/>
      <c r="H187" s="121"/>
      <c r="I187" s="121"/>
      <c r="J187" s="121"/>
      <c r="K187" s="121"/>
      <c r="L187" s="121"/>
      <c r="M187" s="121"/>
      <c r="N187" s="121"/>
      <c r="O187" s="121"/>
      <c r="P187" s="121"/>
      <c r="Q187" s="121"/>
      <c r="R187" s="121"/>
      <c r="S187" s="121"/>
      <c r="T187" s="121"/>
      <c r="U187" s="121"/>
      <c r="V187" s="121"/>
    </row>
    <row r="188" spans="2:22" x14ac:dyDescent="0.3">
      <c r="B188" s="123"/>
      <c r="C188" s="123"/>
      <c r="D188" s="123"/>
      <c r="E188" s="123"/>
      <c r="F188" s="123"/>
      <c r="G188" s="123"/>
      <c r="H188" s="121"/>
      <c r="I188" s="121"/>
      <c r="J188" s="121"/>
      <c r="K188" s="121"/>
      <c r="L188" s="121"/>
      <c r="M188" s="121"/>
      <c r="N188" s="121"/>
      <c r="O188" s="121"/>
      <c r="P188" s="121"/>
      <c r="Q188" s="121"/>
      <c r="R188" s="121"/>
      <c r="S188" s="121"/>
      <c r="T188" s="121"/>
      <c r="U188" s="121"/>
      <c r="V188" s="121"/>
    </row>
    <row r="189" spans="2:22" x14ac:dyDescent="0.3">
      <c r="B189" s="123"/>
      <c r="C189" s="123"/>
      <c r="D189" s="123"/>
      <c r="E189" s="123"/>
      <c r="F189" s="123"/>
      <c r="G189" s="123"/>
      <c r="H189" s="121"/>
      <c r="I189" s="121"/>
      <c r="J189" s="121"/>
      <c r="K189" s="121"/>
      <c r="L189" s="121"/>
      <c r="M189" s="121"/>
      <c r="N189" s="121"/>
      <c r="O189" s="121"/>
      <c r="P189" s="121"/>
      <c r="Q189" s="121"/>
      <c r="R189" s="121"/>
      <c r="S189" s="121"/>
      <c r="T189" s="121"/>
      <c r="U189" s="121"/>
      <c r="V189" s="121"/>
    </row>
    <row r="190" spans="2:22" x14ac:dyDescent="0.3">
      <c r="B190" s="123"/>
      <c r="C190" s="123"/>
      <c r="D190" s="123"/>
      <c r="E190" s="123"/>
      <c r="F190" s="123"/>
      <c r="G190" s="123"/>
      <c r="H190" s="121"/>
      <c r="I190" s="121"/>
      <c r="J190" s="121"/>
      <c r="K190" s="121"/>
      <c r="L190" s="121"/>
      <c r="M190" s="121"/>
      <c r="N190" s="121"/>
      <c r="O190" s="121"/>
      <c r="P190" s="121"/>
      <c r="Q190" s="121"/>
      <c r="R190" s="121"/>
      <c r="S190" s="121"/>
      <c r="T190" s="121"/>
      <c r="U190" s="121"/>
      <c r="V190" s="121"/>
    </row>
    <row r="191" spans="2:22" x14ac:dyDescent="0.3">
      <c r="B191" s="123"/>
      <c r="C191" s="123"/>
      <c r="D191" s="123"/>
      <c r="E191" s="123"/>
      <c r="F191" s="123"/>
      <c r="G191" s="123"/>
      <c r="H191" s="121"/>
      <c r="I191" s="121"/>
      <c r="J191" s="121"/>
      <c r="K191" s="121"/>
      <c r="L191" s="121"/>
      <c r="M191" s="121"/>
      <c r="N191" s="121"/>
      <c r="O191" s="121"/>
      <c r="P191" s="121"/>
      <c r="Q191" s="121"/>
      <c r="R191" s="121"/>
      <c r="S191" s="121"/>
      <c r="T191" s="121"/>
      <c r="U191" s="121"/>
      <c r="V191" s="121"/>
    </row>
    <row r="192" spans="2:22" x14ac:dyDescent="0.3">
      <c r="B192" s="123"/>
      <c r="C192" s="123"/>
      <c r="D192" s="123"/>
      <c r="E192" s="123"/>
      <c r="F192" s="123"/>
      <c r="G192" s="123"/>
      <c r="H192" s="121"/>
      <c r="I192" s="121"/>
      <c r="J192" s="121"/>
      <c r="K192" s="121"/>
      <c r="L192" s="121"/>
      <c r="M192" s="121"/>
      <c r="N192" s="121"/>
      <c r="O192" s="121"/>
      <c r="P192" s="121"/>
      <c r="Q192" s="121"/>
      <c r="R192" s="121"/>
      <c r="S192" s="121"/>
      <c r="T192" s="121"/>
      <c r="U192" s="121"/>
      <c r="V192" s="121"/>
    </row>
    <row r="193" spans="2:22" x14ac:dyDescent="0.3">
      <c r="B193" s="123"/>
      <c r="C193" s="123"/>
      <c r="D193" s="123"/>
      <c r="E193" s="123"/>
      <c r="F193" s="123"/>
      <c r="G193" s="123"/>
      <c r="H193" s="121"/>
      <c r="I193" s="121"/>
      <c r="J193" s="121"/>
      <c r="K193" s="121"/>
      <c r="L193" s="121"/>
      <c r="M193" s="121"/>
      <c r="N193" s="121"/>
      <c r="O193" s="121"/>
      <c r="P193" s="121"/>
      <c r="Q193" s="121"/>
      <c r="R193" s="121"/>
      <c r="S193" s="121"/>
      <c r="T193" s="121"/>
      <c r="U193" s="121"/>
      <c r="V193" s="121"/>
    </row>
    <row r="194" spans="2:22" x14ac:dyDescent="0.3">
      <c r="B194" s="123"/>
      <c r="C194" s="123"/>
      <c r="D194" s="123"/>
      <c r="E194" s="123"/>
      <c r="F194" s="123"/>
      <c r="G194" s="123"/>
      <c r="H194" s="121"/>
      <c r="I194" s="121"/>
      <c r="J194" s="121"/>
      <c r="K194" s="121"/>
      <c r="L194" s="121"/>
      <c r="M194" s="121"/>
      <c r="N194" s="121"/>
      <c r="O194" s="121"/>
      <c r="P194" s="121"/>
      <c r="Q194" s="121"/>
      <c r="R194" s="121"/>
      <c r="S194" s="121"/>
      <c r="T194" s="121"/>
      <c r="U194" s="121"/>
      <c r="V194" s="121"/>
    </row>
    <row r="195" spans="2:22" x14ac:dyDescent="0.3">
      <c r="B195" s="123"/>
      <c r="C195" s="123"/>
      <c r="D195" s="123"/>
      <c r="E195" s="123"/>
      <c r="F195" s="123"/>
      <c r="G195" s="123"/>
      <c r="H195" s="121"/>
      <c r="I195" s="121"/>
      <c r="J195" s="121"/>
      <c r="K195" s="121"/>
      <c r="L195" s="121"/>
      <c r="M195" s="121"/>
      <c r="N195" s="121"/>
      <c r="O195" s="121"/>
      <c r="P195" s="121"/>
      <c r="Q195" s="121"/>
      <c r="R195" s="121"/>
      <c r="S195" s="121"/>
      <c r="T195" s="121"/>
      <c r="U195" s="121"/>
      <c r="V195" s="121"/>
    </row>
    <row r="196" spans="2:22" x14ac:dyDescent="0.3">
      <c r="B196" s="123"/>
      <c r="C196" s="123"/>
      <c r="D196" s="123"/>
      <c r="E196" s="123"/>
      <c r="F196" s="123"/>
      <c r="G196" s="123"/>
      <c r="H196" s="121"/>
      <c r="I196" s="121"/>
      <c r="J196" s="121"/>
      <c r="K196" s="121"/>
      <c r="L196" s="121"/>
      <c r="M196" s="121"/>
      <c r="N196" s="121"/>
      <c r="O196" s="121"/>
      <c r="P196" s="121"/>
      <c r="Q196" s="121"/>
      <c r="R196" s="121"/>
      <c r="S196" s="121"/>
      <c r="T196" s="121"/>
      <c r="U196" s="121"/>
      <c r="V196" s="121"/>
    </row>
    <row r="197" spans="2:22" x14ac:dyDescent="0.3">
      <c r="B197" s="123"/>
      <c r="C197" s="123"/>
      <c r="D197" s="123"/>
      <c r="E197" s="123"/>
      <c r="F197" s="123"/>
      <c r="G197" s="123"/>
      <c r="H197" s="121"/>
      <c r="I197" s="121"/>
      <c r="J197" s="121"/>
      <c r="K197" s="121"/>
      <c r="L197" s="121"/>
      <c r="M197" s="121"/>
      <c r="N197" s="121"/>
      <c r="O197" s="121"/>
      <c r="P197" s="121"/>
      <c r="Q197" s="121"/>
      <c r="R197" s="121"/>
      <c r="S197" s="121"/>
      <c r="T197" s="121"/>
      <c r="U197" s="121"/>
      <c r="V197" s="121"/>
    </row>
    <row r="198" spans="2:22" x14ac:dyDescent="0.3">
      <c r="B198" s="123"/>
      <c r="C198" s="123"/>
      <c r="D198" s="123"/>
      <c r="E198" s="123"/>
      <c r="F198" s="123"/>
      <c r="G198" s="123"/>
      <c r="H198" s="121"/>
      <c r="I198" s="121"/>
      <c r="J198" s="121"/>
      <c r="K198" s="121"/>
      <c r="L198" s="121"/>
      <c r="M198" s="121"/>
      <c r="N198" s="121"/>
      <c r="O198" s="121"/>
      <c r="P198" s="121"/>
      <c r="Q198" s="121"/>
      <c r="R198" s="121"/>
      <c r="S198" s="121"/>
      <c r="T198" s="121"/>
      <c r="U198" s="121"/>
      <c r="V198" s="121"/>
    </row>
    <row r="199" spans="2:22" x14ac:dyDescent="0.3">
      <c r="B199" s="123"/>
      <c r="C199" s="123"/>
      <c r="D199" s="123"/>
      <c r="E199" s="123"/>
      <c r="F199" s="123"/>
      <c r="G199" s="123"/>
      <c r="H199" s="121"/>
      <c r="I199" s="121"/>
      <c r="J199" s="121"/>
      <c r="K199" s="121"/>
      <c r="L199" s="121"/>
      <c r="M199" s="121"/>
      <c r="N199" s="121"/>
      <c r="O199" s="121"/>
      <c r="P199" s="121"/>
      <c r="Q199" s="121"/>
      <c r="R199" s="121"/>
      <c r="S199" s="121"/>
      <c r="T199" s="121"/>
      <c r="U199" s="121"/>
      <c r="V199" s="121"/>
    </row>
    <row r="200" spans="2:22" x14ac:dyDescent="0.3">
      <c r="B200" s="123"/>
      <c r="C200" s="123"/>
      <c r="D200" s="123"/>
      <c r="E200" s="123"/>
      <c r="F200" s="123"/>
      <c r="G200" s="123"/>
      <c r="H200" s="121"/>
      <c r="I200" s="121"/>
      <c r="J200" s="121"/>
      <c r="K200" s="121"/>
      <c r="L200" s="121"/>
      <c r="M200" s="121"/>
      <c r="N200" s="121"/>
      <c r="O200" s="121"/>
      <c r="P200" s="121"/>
      <c r="Q200" s="121"/>
      <c r="R200" s="121"/>
      <c r="S200" s="121"/>
      <c r="T200" s="121"/>
      <c r="U200" s="121"/>
      <c r="V200" s="121"/>
    </row>
    <row r="201" spans="2:22" x14ac:dyDescent="0.3">
      <c r="B201" s="123"/>
      <c r="C201" s="123"/>
      <c r="D201" s="123"/>
      <c r="E201" s="123"/>
      <c r="F201" s="123"/>
      <c r="G201" s="123"/>
      <c r="H201" s="121"/>
      <c r="I201" s="121"/>
      <c r="J201" s="121"/>
      <c r="K201" s="121"/>
      <c r="L201" s="121"/>
      <c r="M201" s="121"/>
      <c r="N201" s="121"/>
      <c r="O201" s="121"/>
      <c r="P201" s="121"/>
      <c r="Q201" s="121"/>
      <c r="R201" s="121"/>
      <c r="S201" s="121"/>
      <c r="T201" s="121"/>
      <c r="U201" s="121"/>
      <c r="V201" s="121"/>
    </row>
    <row r="202" spans="2:22" x14ac:dyDescent="0.3">
      <c r="B202" s="123"/>
      <c r="C202" s="123"/>
      <c r="D202" s="123"/>
      <c r="E202" s="123"/>
      <c r="F202" s="123"/>
      <c r="G202" s="123"/>
      <c r="H202" s="121"/>
      <c r="I202" s="121"/>
      <c r="J202" s="121"/>
      <c r="K202" s="121"/>
      <c r="L202" s="121"/>
      <c r="M202" s="121"/>
      <c r="N202" s="121"/>
      <c r="O202" s="121"/>
      <c r="P202" s="121"/>
      <c r="Q202" s="121"/>
      <c r="R202" s="121"/>
      <c r="S202" s="121"/>
      <c r="T202" s="121"/>
      <c r="U202" s="121"/>
      <c r="V202" s="121"/>
    </row>
    <row r="203" spans="2:22" x14ac:dyDescent="0.3">
      <c r="B203" s="123"/>
      <c r="C203" s="123"/>
      <c r="D203" s="123"/>
      <c r="E203" s="123"/>
      <c r="F203" s="123"/>
      <c r="G203" s="123"/>
      <c r="H203" s="121"/>
      <c r="I203" s="121"/>
      <c r="J203" s="121"/>
      <c r="K203" s="121"/>
      <c r="L203" s="121"/>
      <c r="M203" s="121"/>
      <c r="N203" s="121"/>
      <c r="O203" s="121"/>
      <c r="P203" s="121"/>
      <c r="Q203" s="121"/>
      <c r="R203" s="121"/>
      <c r="S203" s="121"/>
      <c r="T203" s="121"/>
      <c r="U203" s="121"/>
      <c r="V203" s="121"/>
    </row>
    <row r="204" spans="2:22" x14ac:dyDescent="0.3">
      <c r="B204" s="123"/>
      <c r="C204" s="123"/>
      <c r="D204" s="123"/>
      <c r="E204" s="123"/>
      <c r="F204" s="123"/>
      <c r="G204" s="123"/>
      <c r="H204" s="121"/>
      <c r="I204" s="121"/>
      <c r="J204" s="121"/>
      <c r="K204" s="121"/>
      <c r="L204" s="121"/>
      <c r="M204" s="121"/>
      <c r="N204" s="121"/>
      <c r="O204" s="121"/>
      <c r="P204" s="121"/>
      <c r="Q204" s="121"/>
      <c r="R204" s="121"/>
      <c r="S204" s="121"/>
      <c r="T204" s="121"/>
      <c r="U204" s="121"/>
      <c r="V204" s="121"/>
    </row>
    <row r="205" spans="2:22" x14ac:dyDescent="0.3">
      <c r="B205" s="123"/>
      <c r="C205" s="123"/>
      <c r="D205" s="123"/>
      <c r="E205" s="123"/>
      <c r="F205" s="123"/>
      <c r="G205" s="123"/>
      <c r="H205" s="121"/>
      <c r="I205" s="121"/>
      <c r="J205" s="121"/>
      <c r="K205" s="121"/>
      <c r="L205" s="121"/>
      <c r="M205" s="121"/>
      <c r="N205" s="121"/>
      <c r="O205" s="121"/>
      <c r="P205" s="121"/>
      <c r="Q205" s="121"/>
      <c r="R205" s="121"/>
      <c r="S205" s="121"/>
      <c r="T205" s="121"/>
      <c r="U205" s="121"/>
      <c r="V205" s="121"/>
    </row>
    <row r="206" spans="2:22" x14ac:dyDescent="0.3">
      <c r="B206" s="123"/>
      <c r="C206" s="123"/>
      <c r="D206" s="123"/>
      <c r="E206" s="123"/>
      <c r="F206" s="123"/>
      <c r="G206" s="123"/>
      <c r="H206" s="121"/>
      <c r="I206" s="121"/>
      <c r="J206" s="121"/>
      <c r="K206" s="121"/>
      <c r="L206" s="121"/>
      <c r="M206" s="121"/>
      <c r="N206" s="121"/>
      <c r="O206" s="121"/>
      <c r="P206" s="121"/>
      <c r="Q206" s="121"/>
      <c r="R206" s="121"/>
      <c r="S206" s="121"/>
      <c r="T206" s="121"/>
      <c r="U206" s="121"/>
      <c r="V206" s="121"/>
    </row>
    <row r="207" spans="2:22" x14ac:dyDescent="0.3">
      <c r="B207" s="123"/>
      <c r="C207" s="123"/>
      <c r="D207" s="123"/>
      <c r="E207" s="123"/>
      <c r="F207" s="123"/>
      <c r="G207" s="123"/>
      <c r="H207" s="121"/>
      <c r="I207" s="121"/>
      <c r="J207" s="121"/>
      <c r="K207" s="121"/>
      <c r="L207" s="121"/>
      <c r="M207" s="121"/>
      <c r="N207" s="121"/>
      <c r="O207" s="121"/>
      <c r="P207" s="121"/>
      <c r="Q207" s="121"/>
      <c r="R207" s="121"/>
      <c r="S207" s="121"/>
      <c r="T207" s="121"/>
      <c r="U207" s="121"/>
      <c r="V207" s="121"/>
    </row>
    <row r="208" spans="2:22" x14ac:dyDescent="0.3">
      <c r="B208" s="123"/>
      <c r="C208" s="123"/>
      <c r="D208" s="123"/>
      <c r="E208" s="123"/>
      <c r="F208" s="123"/>
      <c r="G208" s="123"/>
      <c r="H208" s="121"/>
      <c r="I208" s="121"/>
      <c r="J208" s="121"/>
      <c r="K208" s="121"/>
      <c r="L208" s="121"/>
      <c r="M208" s="121"/>
      <c r="N208" s="121"/>
      <c r="O208" s="121"/>
      <c r="P208" s="121"/>
      <c r="Q208" s="121"/>
      <c r="R208" s="121"/>
      <c r="S208" s="121"/>
      <c r="T208" s="121"/>
      <c r="U208" s="121"/>
      <c r="V208" s="121"/>
    </row>
    <row r="209" spans="2:22" x14ac:dyDescent="0.3">
      <c r="B209" s="123"/>
      <c r="C209" s="123"/>
      <c r="D209" s="123"/>
      <c r="E209" s="123"/>
      <c r="F209" s="123"/>
      <c r="G209" s="123"/>
      <c r="H209" s="121"/>
      <c r="I209" s="121"/>
      <c r="J209" s="121"/>
      <c r="K209" s="121"/>
      <c r="L209" s="121"/>
      <c r="M209" s="121"/>
      <c r="N209" s="121"/>
      <c r="O209" s="121"/>
      <c r="P209" s="121"/>
      <c r="Q209" s="121"/>
      <c r="R209" s="121"/>
      <c r="S209" s="121"/>
      <c r="T209" s="121"/>
      <c r="U209" s="121"/>
      <c r="V209" s="121"/>
    </row>
    <row r="210" spans="2:22" x14ac:dyDescent="0.3">
      <c r="B210" s="123"/>
      <c r="C210" s="123"/>
      <c r="D210" s="123"/>
      <c r="E210" s="123"/>
      <c r="F210" s="123"/>
      <c r="G210" s="123"/>
      <c r="H210" s="121"/>
      <c r="I210" s="121"/>
      <c r="J210" s="121"/>
      <c r="K210" s="121"/>
      <c r="L210" s="121"/>
      <c r="M210" s="121"/>
      <c r="N210" s="121"/>
      <c r="O210" s="121"/>
      <c r="P210" s="121"/>
      <c r="Q210" s="121"/>
      <c r="R210" s="121"/>
      <c r="S210" s="121"/>
      <c r="T210" s="121"/>
      <c r="U210" s="121"/>
      <c r="V210" s="121"/>
    </row>
    <row r="211" spans="2:22" x14ac:dyDescent="0.3">
      <c r="B211" s="123"/>
      <c r="C211" s="123"/>
      <c r="D211" s="123"/>
      <c r="E211" s="123"/>
      <c r="F211" s="123"/>
      <c r="G211" s="123"/>
      <c r="H211" s="121"/>
      <c r="I211" s="121"/>
      <c r="J211" s="121"/>
      <c r="K211" s="121"/>
      <c r="L211" s="121"/>
      <c r="M211" s="121"/>
      <c r="N211" s="121"/>
      <c r="O211" s="121"/>
      <c r="P211" s="121"/>
      <c r="Q211" s="121"/>
      <c r="R211" s="121"/>
      <c r="S211" s="121"/>
      <c r="T211" s="121"/>
      <c r="U211" s="121"/>
      <c r="V211" s="121"/>
    </row>
    <row r="212" spans="2:22" x14ac:dyDescent="0.3">
      <c r="B212" s="123"/>
      <c r="C212" s="123"/>
      <c r="D212" s="123"/>
      <c r="E212" s="123"/>
      <c r="F212" s="123"/>
      <c r="G212" s="123"/>
      <c r="H212" s="121"/>
      <c r="I212" s="121"/>
      <c r="J212" s="121"/>
      <c r="K212" s="121"/>
      <c r="L212" s="121"/>
      <c r="M212" s="121"/>
      <c r="N212" s="121"/>
      <c r="O212" s="121"/>
      <c r="P212" s="121"/>
      <c r="Q212" s="121"/>
      <c r="R212" s="121"/>
      <c r="S212" s="121"/>
      <c r="T212" s="121"/>
      <c r="U212" s="121"/>
      <c r="V212" s="121"/>
    </row>
    <row r="213" spans="2:22" x14ac:dyDescent="0.3">
      <c r="B213" s="123"/>
      <c r="C213" s="123"/>
      <c r="D213" s="123"/>
      <c r="E213" s="123"/>
      <c r="F213" s="123"/>
      <c r="G213" s="123"/>
      <c r="H213" s="121"/>
      <c r="I213" s="121"/>
      <c r="J213" s="121"/>
      <c r="K213" s="121"/>
      <c r="L213" s="121"/>
      <c r="M213" s="121"/>
      <c r="N213" s="121"/>
      <c r="O213" s="121"/>
      <c r="P213" s="121"/>
      <c r="Q213" s="121"/>
      <c r="R213" s="121"/>
      <c r="S213" s="121"/>
      <c r="T213" s="121"/>
      <c r="U213" s="121"/>
      <c r="V213" s="121"/>
    </row>
    <row r="214" spans="2:22" x14ac:dyDescent="0.3">
      <c r="B214" s="123"/>
      <c r="C214" s="123"/>
      <c r="D214" s="123"/>
      <c r="E214" s="123"/>
      <c r="F214" s="123"/>
      <c r="G214" s="123"/>
      <c r="H214" s="121"/>
      <c r="I214" s="121"/>
      <c r="J214" s="121"/>
      <c r="K214" s="121"/>
      <c r="L214" s="121"/>
      <c r="M214" s="121"/>
      <c r="N214" s="121"/>
      <c r="O214" s="121"/>
      <c r="P214" s="121"/>
      <c r="Q214" s="121"/>
      <c r="R214" s="121"/>
      <c r="S214" s="121"/>
      <c r="T214" s="121"/>
      <c r="U214" s="121"/>
      <c r="V214" s="121"/>
    </row>
    <row r="215" spans="2:22" x14ac:dyDescent="0.3">
      <c r="B215" s="123"/>
      <c r="C215" s="123"/>
      <c r="D215" s="123"/>
      <c r="E215" s="123"/>
      <c r="F215" s="123"/>
      <c r="G215" s="123"/>
      <c r="H215" s="121"/>
      <c r="I215" s="121"/>
      <c r="J215" s="121"/>
      <c r="K215" s="121"/>
      <c r="L215" s="121"/>
      <c r="M215" s="121"/>
      <c r="N215" s="121"/>
      <c r="O215" s="121"/>
      <c r="P215" s="121"/>
      <c r="Q215" s="121"/>
      <c r="R215" s="121"/>
      <c r="S215" s="121"/>
      <c r="T215" s="121"/>
      <c r="U215" s="121"/>
      <c r="V215" s="121"/>
    </row>
    <row r="216" spans="2:22" x14ac:dyDescent="0.3">
      <c r="B216" s="123"/>
      <c r="C216" s="123"/>
      <c r="D216" s="123"/>
      <c r="E216" s="123"/>
      <c r="F216" s="123"/>
      <c r="G216" s="123"/>
      <c r="H216" s="121"/>
      <c r="I216" s="121"/>
      <c r="J216" s="121"/>
      <c r="K216" s="121"/>
      <c r="L216" s="121"/>
      <c r="M216" s="121"/>
      <c r="N216" s="121"/>
      <c r="O216" s="121"/>
      <c r="P216" s="121"/>
      <c r="Q216" s="121"/>
      <c r="R216" s="121"/>
      <c r="S216" s="121"/>
      <c r="T216" s="121"/>
      <c r="U216" s="121"/>
      <c r="V216" s="121"/>
    </row>
    <row r="217" spans="2:22" x14ac:dyDescent="0.3">
      <c r="B217" s="123"/>
      <c r="C217" s="123"/>
      <c r="D217" s="123"/>
      <c r="E217" s="123"/>
      <c r="F217" s="123"/>
      <c r="G217" s="123"/>
      <c r="H217" s="121"/>
      <c r="I217" s="121"/>
      <c r="J217" s="121"/>
      <c r="K217" s="121"/>
      <c r="L217" s="121"/>
      <c r="M217" s="121"/>
      <c r="N217" s="121"/>
      <c r="O217" s="121"/>
      <c r="P217" s="121"/>
      <c r="Q217" s="121"/>
      <c r="R217" s="121"/>
      <c r="S217" s="121"/>
      <c r="T217" s="121"/>
      <c r="U217" s="121"/>
      <c r="V217" s="121"/>
    </row>
    <row r="218" spans="2:22" x14ac:dyDescent="0.3">
      <c r="B218" s="123"/>
      <c r="C218" s="123"/>
      <c r="D218" s="123"/>
      <c r="E218" s="123"/>
      <c r="F218" s="123"/>
      <c r="G218" s="123"/>
      <c r="H218" s="121"/>
      <c r="I218" s="121"/>
      <c r="J218" s="121"/>
      <c r="K218" s="121"/>
      <c r="L218" s="121"/>
      <c r="M218" s="121"/>
      <c r="N218" s="121"/>
      <c r="O218" s="121"/>
      <c r="P218" s="121"/>
      <c r="Q218" s="121"/>
      <c r="R218" s="121"/>
      <c r="S218" s="121"/>
      <c r="T218" s="121"/>
      <c r="U218" s="121"/>
      <c r="V218" s="121"/>
    </row>
    <row r="219" spans="2:22" x14ac:dyDescent="0.3">
      <c r="B219" s="123"/>
      <c r="C219" s="123"/>
      <c r="D219" s="123"/>
      <c r="E219" s="123"/>
      <c r="F219" s="123"/>
      <c r="G219" s="123"/>
      <c r="H219" s="121"/>
      <c r="I219" s="121"/>
      <c r="J219" s="121"/>
      <c r="K219" s="121"/>
      <c r="L219" s="121"/>
      <c r="M219" s="121"/>
      <c r="N219" s="121"/>
      <c r="O219" s="121"/>
      <c r="P219" s="121"/>
      <c r="Q219" s="121"/>
      <c r="R219" s="121"/>
      <c r="S219" s="121"/>
      <c r="T219" s="121"/>
      <c r="U219" s="121"/>
      <c r="V219" s="121"/>
    </row>
    <row r="220" spans="2:22" x14ac:dyDescent="0.3">
      <c r="B220" s="123"/>
      <c r="C220" s="123"/>
      <c r="D220" s="123"/>
      <c r="E220" s="123"/>
      <c r="F220" s="123"/>
      <c r="G220" s="123"/>
      <c r="H220" s="121"/>
      <c r="I220" s="121"/>
      <c r="J220" s="121"/>
      <c r="K220" s="121"/>
      <c r="L220" s="121"/>
      <c r="M220" s="121"/>
      <c r="N220" s="121"/>
      <c r="O220" s="121"/>
      <c r="P220" s="121"/>
      <c r="Q220" s="121"/>
      <c r="R220" s="121"/>
      <c r="S220" s="121"/>
      <c r="T220" s="121"/>
      <c r="U220" s="121"/>
      <c r="V220" s="121"/>
    </row>
    <row r="221" spans="2:22" x14ac:dyDescent="0.3">
      <c r="B221" s="123"/>
      <c r="C221" s="123"/>
      <c r="D221" s="123"/>
      <c r="E221" s="123"/>
      <c r="F221" s="123"/>
      <c r="G221" s="123"/>
      <c r="H221" s="121"/>
      <c r="I221" s="121"/>
      <c r="J221" s="121"/>
      <c r="K221" s="121"/>
      <c r="L221" s="121"/>
      <c r="M221" s="121"/>
      <c r="N221" s="121"/>
      <c r="O221" s="121"/>
      <c r="P221" s="121"/>
      <c r="Q221" s="121"/>
      <c r="R221" s="121"/>
      <c r="S221" s="121"/>
      <c r="T221" s="121"/>
      <c r="U221" s="121"/>
      <c r="V221" s="121"/>
    </row>
    <row r="222" spans="2:22" x14ac:dyDescent="0.3">
      <c r="B222" s="123"/>
      <c r="C222" s="123"/>
      <c r="D222" s="123"/>
      <c r="E222" s="123"/>
      <c r="F222" s="123"/>
      <c r="G222" s="123"/>
      <c r="H222" s="121"/>
      <c r="I222" s="121"/>
      <c r="J222" s="121"/>
      <c r="K222" s="121"/>
      <c r="L222" s="121"/>
      <c r="M222" s="121"/>
      <c r="N222" s="121"/>
      <c r="O222" s="121"/>
      <c r="P222" s="121"/>
      <c r="Q222" s="121"/>
      <c r="R222" s="121"/>
      <c r="S222" s="121"/>
      <c r="T222" s="121"/>
      <c r="U222" s="121"/>
      <c r="V222" s="121"/>
    </row>
    <row r="223" spans="2:22" x14ac:dyDescent="0.3">
      <c r="B223" s="123"/>
      <c r="C223" s="123"/>
      <c r="D223" s="123"/>
      <c r="E223" s="123"/>
      <c r="F223" s="123"/>
      <c r="G223" s="123"/>
      <c r="H223" s="121"/>
      <c r="I223" s="121"/>
      <c r="J223" s="121"/>
      <c r="K223" s="121"/>
      <c r="L223" s="121"/>
      <c r="M223" s="121"/>
      <c r="N223" s="121"/>
      <c r="O223" s="121"/>
      <c r="P223" s="121"/>
      <c r="Q223" s="121"/>
      <c r="R223" s="121"/>
      <c r="S223" s="121"/>
      <c r="T223" s="121"/>
      <c r="U223" s="121"/>
      <c r="V223" s="121"/>
    </row>
    <row r="224" spans="2:22" x14ac:dyDescent="0.3">
      <c r="B224" s="123"/>
      <c r="C224" s="123"/>
      <c r="D224" s="123"/>
      <c r="E224" s="123"/>
      <c r="F224" s="123"/>
      <c r="G224" s="123"/>
      <c r="H224" s="121"/>
      <c r="I224" s="121"/>
      <c r="J224" s="121"/>
      <c r="K224" s="121"/>
      <c r="L224" s="121"/>
      <c r="M224" s="121"/>
      <c r="N224" s="121"/>
      <c r="O224" s="121"/>
      <c r="P224" s="121"/>
      <c r="Q224" s="121"/>
      <c r="R224" s="121"/>
      <c r="S224" s="121"/>
      <c r="T224" s="121"/>
      <c r="U224" s="121"/>
      <c r="V224" s="121"/>
    </row>
    <row r="225" spans="2:22" x14ac:dyDescent="0.3">
      <c r="B225" s="123"/>
      <c r="C225" s="123"/>
      <c r="D225" s="123"/>
      <c r="E225" s="123"/>
      <c r="F225" s="123"/>
      <c r="G225" s="123"/>
      <c r="H225" s="121"/>
      <c r="I225" s="121"/>
      <c r="J225" s="121"/>
      <c r="K225" s="121"/>
      <c r="L225" s="121"/>
      <c r="M225" s="121"/>
      <c r="N225" s="121"/>
      <c r="O225" s="121"/>
      <c r="P225" s="121"/>
      <c r="Q225" s="121"/>
      <c r="R225" s="121"/>
      <c r="S225" s="121"/>
      <c r="T225" s="121"/>
      <c r="U225" s="121"/>
      <c r="V225" s="121"/>
    </row>
    <row r="226" spans="2:22" x14ac:dyDescent="0.3">
      <c r="B226" s="123"/>
      <c r="C226" s="123"/>
      <c r="D226" s="123"/>
      <c r="E226" s="123"/>
      <c r="F226" s="123"/>
      <c r="G226" s="123"/>
      <c r="H226" s="121"/>
      <c r="I226" s="121"/>
      <c r="J226" s="121"/>
      <c r="K226" s="121"/>
      <c r="L226" s="121"/>
      <c r="M226" s="121"/>
      <c r="N226" s="121"/>
      <c r="O226" s="121"/>
      <c r="P226" s="121"/>
      <c r="Q226" s="121"/>
      <c r="R226" s="121"/>
      <c r="S226" s="121"/>
      <c r="T226" s="121"/>
      <c r="U226" s="121"/>
      <c r="V226" s="121"/>
    </row>
    <row r="227" spans="2:22" x14ac:dyDescent="0.3">
      <c r="B227" s="123"/>
      <c r="C227" s="123"/>
      <c r="D227" s="123"/>
      <c r="E227" s="123"/>
      <c r="F227" s="123"/>
      <c r="G227" s="123"/>
      <c r="H227" s="121"/>
      <c r="I227" s="121"/>
      <c r="J227" s="121"/>
      <c r="K227" s="121"/>
      <c r="L227" s="121"/>
      <c r="M227" s="121"/>
      <c r="N227" s="121"/>
      <c r="O227" s="121"/>
      <c r="P227" s="121"/>
      <c r="Q227" s="121"/>
      <c r="R227" s="121"/>
      <c r="S227" s="121"/>
      <c r="T227" s="121"/>
      <c r="U227" s="121"/>
      <c r="V227" s="121"/>
    </row>
    <row r="228" spans="2:22" x14ac:dyDescent="0.3">
      <c r="B228" s="123"/>
      <c r="C228" s="123"/>
      <c r="D228" s="123"/>
      <c r="E228" s="123"/>
      <c r="F228" s="123"/>
      <c r="G228" s="123"/>
      <c r="H228" s="121"/>
      <c r="I228" s="121"/>
      <c r="J228" s="121"/>
      <c r="K228" s="121"/>
      <c r="L228" s="121"/>
      <c r="M228" s="121"/>
      <c r="N228" s="121"/>
      <c r="O228" s="121"/>
      <c r="P228" s="121"/>
      <c r="Q228" s="121"/>
      <c r="R228" s="121"/>
      <c r="S228" s="121"/>
      <c r="T228" s="121"/>
      <c r="U228" s="121"/>
      <c r="V228" s="121"/>
    </row>
    <row r="229" spans="2:22" x14ac:dyDescent="0.3">
      <c r="B229" s="123"/>
      <c r="C229" s="123"/>
      <c r="D229" s="123"/>
      <c r="E229" s="123"/>
      <c r="F229" s="123"/>
      <c r="G229" s="123"/>
      <c r="H229" s="121"/>
      <c r="I229" s="121"/>
      <c r="J229" s="121"/>
      <c r="K229" s="121"/>
      <c r="L229" s="121"/>
      <c r="M229" s="121"/>
      <c r="N229" s="121"/>
      <c r="O229" s="121"/>
      <c r="P229" s="121"/>
      <c r="Q229" s="121"/>
      <c r="R229" s="121"/>
      <c r="S229" s="121"/>
      <c r="T229" s="121"/>
      <c r="U229" s="121"/>
      <c r="V229" s="121"/>
    </row>
    <row r="230" spans="2:22" x14ac:dyDescent="0.3">
      <c r="B230" s="123"/>
      <c r="C230" s="123"/>
      <c r="D230" s="123"/>
      <c r="E230" s="123"/>
      <c r="F230" s="123"/>
      <c r="G230" s="123"/>
      <c r="H230" s="121"/>
      <c r="I230" s="121"/>
      <c r="J230" s="121"/>
      <c r="K230" s="121"/>
      <c r="L230" s="121"/>
      <c r="M230" s="121"/>
      <c r="N230" s="121"/>
      <c r="O230" s="121"/>
      <c r="P230" s="121"/>
      <c r="Q230" s="121"/>
      <c r="R230" s="121"/>
      <c r="S230" s="121"/>
      <c r="T230" s="121"/>
      <c r="U230" s="121"/>
      <c r="V230" s="121"/>
    </row>
    <row r="231" spans="2:22" x14ac:dyDescent="0.3">
      <c r="B231" s="123"/>
      <c r="C231" s="123"/>
      <c r="D231" s="123"/>
      <c r="E231" s="123"/>
      <c r="F231" s="123"/>
      <c r="G231" s="123"/>
      <c r="H231" s="121"/>
      <c r="I231" s="121"/>
      <c r="J231" s="121"/>
      <c r="K231" s="121"/>
      <c r="L231" s="121"/>
      <c r="M231" s="121"/>
      <c r="N231" s="121"/>
      <c r="O231" s="121"/>
      <c r="P231" s="121"/>
      <c r="Q231" s="121"/>
      <c r="R231" s="121"/>
      <c r="S231" s="121"/>
      <c r="T231" s="121"/>
      <c r="U231" s="121"/>
      <c r="V231" s="121"/>
    </row>
    <row r="232" spans="2:22" x14ac:dyDescent="0.3">
      <c r="B232" s="123"/>
      <c r="C232" s="123"/>
      <c r="D232" s="123"/>
      <c r="E232" s="123"/>
      <c r="F232" s="123"/>
      <c r="G232" s="123"/>
      <c r="H232" s="121"/>
      <c r="I232" s="121"/>
      <c r="J232" s="121"/>
      <c r="K232" s="121"/>
      <c r="L232" s="121"/>
      <c r="M232" s="121"/>
      <c r="N232" s="121"/>
      <c r="O232" s="121"/>
      <c r="P232" s="121"/>
      <c r="Q232" s="121"/>
      <c r="R232" s="121"/>
      <c r="S232" s="121"/>
      <c r="T232" s="121"/>
      <c r="U232" s="121"/>
      <c r="V232" s="121"/>
    </row>
    <row r="233" spans="2:22" x14ac:dyDescent="0.3">
      <c r="B233" s="123"/>
      <c r="C233" s="123"/>
      <c r="D233" s="123"/>
      <c r="E233" s="123"/>
      <c r="F233" s="123"/>
      <c r="G233" s="123"/>
      <c r="H233" s="121"/>
      <c r="I233" s="121"/>
      <c r="J233" s="121"/>
      <c r="K233" s="121"/>
      <c r="L233" s="121"/>
      <c r="M233" s="121"/>
      <c r="N233" s="121"/>
      <c r="O233" s="121"/>
      <c r="P233" s="121"/>
      <c r="Q233" s="121"/>
      <c r="R233" s="121"/>
      <c r="S233" s="121"/>
      <c r="T233" s="121"/>
      <c r="U233" s="121"/>
      <c r="V233" s="121"/>
    </row>
    <row r="234" spans="2:22" x14ac:dyDescent="0.3">
      <c r="B234" s="123"/>
      <c r="C234" s="123"/>
      <c r="D234" s="123"/>
      <c r="E234" s="123"/>
      <c r="F234" s="123"/>
      <c r="G234" s="123"/>
      <c r="H234" s="121"/>
      <c r="I234" s="121"/>
      <c r="J234" s="121"/>
      <c r="K234" s="121"/>
      <c r="L234" s="121"/>
      <c r="M234" s="121"/>
      <c r="N234" s="121"/>
      <c r="O234" s="121"/>
      <c r="P234" s="121"/>
      <c r="Q234" s="121"/>
      <c r="R234" s="121"/>
      <c r="S234" s="121"/>
      <c r="T234" s="121"/>
      <c r="U234" s="121"/>
      <c r="V234" s="121"/>
    </row>
    <row r="235" spans="2:22" x14ac:dyDescent="0.3">
      <c r="B235" s="123"/>
      <c r="C235" s="123"/>
      <c r="D235" s="123"/>
      <c r="E235" s="123"/>
      <c r="F235" s="123"/>
      <c r="G235" s="123"/>
      <c r="H235" s="121"/>
      <c r="I235" s="121"/>
      <c r="J235" s="121"/>
      <c r="K235" s="121"/>
      <c r="L235" s="121"/>
      <c r="M235" s="121"/>
      <c r="N235" s="121"/>
      <c r="O235" s="121"/>
      <c r="P235" s="121"/>
      <c r="Q235" s="121"/>
      <c r="R235" s="121"/>
      <c r="S235" s="121"/>
      <c r="T235" s="121"/>
      <c r="U235" s="121"/>
      <c r="V235" s="121"/>
    </row>
    <row r="236" spans="2:22" x14ac:dyDescent="0.3">
      <c r="B236" s="123"/>
      <c r="C236" s="123"/>
      <c r="D236" s="123"/>
      <c r="E236" s="123"/>
      <c r="F236" s="123"/>
      <c r="G236" s="123"/>
      <c r="H236" s="121"/>
      <c r="I236" s="121"/>
      <c r="J236" s="121"/>
      <c r="K236" s="121"/>
      <c r="L236" s="121"/>
      <c r="M236" s="121"/>
      <c r="N236" s="121"/>
      <c r="O236" s="121"/>
      <c r="P236" s="121"/>
      <c r="Q236" s="121"/>
      <c r="R236" s="121"/>
      <c r="S236" s="121"/>
      <c r="T236" s="121"/>
      <c r="U236" s="121"/>
      <c r="V236" s="121"/>
    </row>
    <row r="237" spans="2:22" x14ac:dyDescent="0.3">
      <c r="B237" s="123"/>
      <c r="C237" s="123"/>
      <c r="D237" s="123"/>
      <c r="E237" s="123"/>
      <c r="F237" s="123"/>
      <c r="G237" s="123"/>
      <c r="H237" s="121"/>
      <c r="I237" s="121"/>
      <c r="J237" s="121"/>
      <c r="K237" s="121"/>
      <c r="L237" s="121"/>
      <c r="M237" s="121"/>
      <c r="N237" s="121"/>
      <c r="O237" s="121"/>
      <c r="P237" s="121"/>
      <c r="Q237" s="121"/>
      <c r="R237" s="121"/>
      <c r="S237" s="121"/>
      <c r="T237" s="121"/>
      <c r="U237" s="121"/>
      <c r="V237" s="121"/>
    </row>
    <row r="238" spans="2:22" x14ac:dyDescent="0.3">
      <c r="B238" s="123"/>
      <c r="C238" s="123"/>
      <c r="D238" s="123"/>
      <c r="E238" s="123"/>
      <c r="F238" s="123"/>
      <c r="G238" s="123"/>
      <c r="H238" s="121"/>
      <c r="I238" s="121"/>
      <c r="J238" s="121"/>
      <c r="K238" s="121"/>
      <c r="L238" s="121"/>
      <c r="M238" s="121"/>
      <c r="N238" s="121"/>
      <c r="O238" s="121"/>
      <c r="P238" s="121"/>
      <c r="Q238" s="121"/>
      <c r="R238" s="121"/>
      <c r="S238" s="121"/>
      <c r="T238" s="121"/>
      <c r="U238" s="121"/>
      <c r="V238" s="121"/>
    </row>
    <row r="239" spans="2:22" x14ac:dyDescent="0.3">
      <c r="B239" s="123"/>
      <c r="C239" s="123"/>
      <c r="D239" s="123"/>
      <c r="E239" s="123"/>
      <c r="F239" s="123"/>
      <c r="G239" s="123"/>
      <c r="H239" s="121"/>
      <c r="I239" s="121"/>
      <c r="J239" s="121"/>
      <c r="K239" s="121"/>
      <c r="L239" s="121"/>
      <c r="M239" s="121"/>
      <c r="N239" s="121"/>
      <c r="O239" s="121"/>
      <c r="P239" s="121"/>
      <c r="Q239" s="121"/>
      <c r="R239" s="121"/>
      <c r="S239" s="121"/>
      <c r="T239" s="121"/>
      <c r="U239" s="121"/>
      <c r="V239" s="121"/>
    </row>
    <row r="240" spans="2:22" x14ac:dyDescent="0.3">
      <c r="B240" s="123"/>
      <c r="C240" s="123"/>
      <c r="D240" s="123"/>
      <c r="E240" s="123"/>
      <c r="F240" s="123"/>
      <c r="G240" s="123"/>
      <c r="H240" s="121"/>
      <c r="I240" s="121"/>
      <c r="J240" s="121"/>
      <c r="K240" s="121"/>
      <c r="L240" s="121"/>
      <c r="M240" s="121"/>
      <c r="N240" s="121"/>
      <c r="O240" s="121"/>
      <c r="P240" s="121"/>
      <c r="Q240" s="121"/>
      <c r="R240" s="121"/>
      <c r="S240" s="121"/>
      <c r="T240" s="121"/>
      <c r="U240" s="121"/>
      <c r="V240" s="121"/>
    </row>
    <row r="241" spans="2:22" x14ac:dyDescent="0.3">
      <c r="B241" s="123"/>
      <c r="C241" s="123"/>
      <c r="D241" s="123"/>
      <c r="E241" s="123"/>
      <c r="F241" s="123"/>
      <c r="G241" s="123"/>
      <c r="H241" s="121"/>
      <c r="I241" s="121"/>
      <c r="J241" s="121"/>
      <c r="K241" s="121"/>
      <c r="L241" s="121"/>
      <c r="M241" s="121"/>
      <c r="N241" s="121"/>
      <c r="O241" s="121"/>
      <c r="P241" s="121"/>
      <c r="Q241" s="121"/>
      <c r="R241" s="121"/>
      <c r="S241" s="121"/>
      <c r="T241" s="121"/>
      <c r="U241" s="121"/>
      <c r="V241" s="121"/>
    </row>
    <row r="242" spans="2:22" x14ac:dyDescent="0.3">
      <c r="B242" s="123"/>
      <c r="C242" s="123"/>
      <c r="D242" s="123"/>
      <c r="E242" s="123"/>
      <c r="F242" s="123"/>
      <c r="G242" s="123"/>
      <c r="H242" s="121"/>
      <c r="I242" s="121"/>
      <c r="J242" s="121"/>
      <c r="K242" s="121"/>
      <c r="L242" s="121"/>
      <c r="M242" s="121"/>
      <c r="N242" s="121"/>
      <c r="O242" s="121"/>
      <c r="P242" s="121"/>
      <c r="Q242" s="121"/>
      <c r="R242" s="121"/>
      <c r="S242" s="121"/>
      <c r="T242" s="121"/>
      <c r="U242" s="121"/>
      <c r="V242" s="121"/>
    </row>
    <row r="243" spans="2:22" x14ac:dyDescent="0.3">
      <c r="B243" s="123"/>
      <c r="C243" s="123"/>
      <c r="D243" s="123"/>
      <c r="E243" s="123"/>
      <c r="F243" s="123"/>
      <c r="G243" s="123"/>
      <c r="H243" s="121"/>
      <c r="I243" s="121"/>
      <c r="J243" s="121"/>
      <c r="K243" s="121"/>
      <c r="L243" s="121"/>
      <c r="M243" s="121"/>
      <c r="N243" s="121"/>
      <c r="O243" s="121"/>
      <c r="P243" s="121"/>
      <c r="Q243" s="121"/>
      <c r="R243" s="121"/>
      <c r="S243" s="121"/>
      <c r="T243" s="121"/>
      <c r="U243" s="121"/>
      <c r="V243" s="121"/>
    </row>
    <row r="244" spans="2:22" x14ac:dyDescent="0.3">
      <c r="B244" s="123"/>
      <c r="C244" s="123"/>
      <c r="D244" s="123"/>
      <c r="E244" s="123"/>
      <c r="F244" s="123"/>
      <c r="G244" s="123"/>
      <c r="H244" s="121"/>
      <c r="I244" s="121"/>
      <c r="J244" s="121"/>
      <c r="K244" s="121"/>
      <c r="L244" s="121"/>
      <c r="M244" s="121"/>
      <c r="N244" s="121"/>
      <c r="O244" s="121"/>
      <c r="P244" s="121"/>
      <c r="Q244" s="121"/>
      <c r="R244" s="121"/>
      <c r="S244" s="121"/>
      <c r="T244" s="121"/>
      <c r="U244" s="121"/>
      <c r="V244" s="121"/>
    </row>
    <row r="245" spans="2:22" x14ac:dyDescent="0.3">
      <c r="B245" s="123"/>
      <c r="C245" s="123"/>
      <c r="D245" s="123"/>
      <c r="E245" s="123"/>
      <c r="F245" s="123"/>
      <c r="G245" s="123"/>
      <c r="H245" s="121"/>
      <c r="I245" s="121"/>
      <c r="J245" s="121"/>
      <c r="K245" s="121"/>
      <c r="L245" s="121"/>
      <c r="M245" s="121"/>
      <c r="N245" s="121"/>
      <c r="O245" s="121"/>
      <c r="P245" s="121"/>
      <c r="Q245" s="121"/>
      <c r="R245" s="121"/>
      <c r="S245" s="121"/>
      <c r="T245" s="121"/>
      <c r="U245" s="121"/>
      <c r="V245" s="121"/>
    </row>
    <row r="246" spans="2:22" x14ac:dyDescent="0.3">
      <c r="B246" s="123"/>
      <c r="C246" s="123"/>
      <c r="D246" s="123"/>
      <c r="E246" s="123"/>
      <c r="F246" s="123"/>
      <c r="G246" s="123"/>
      <c r="H246" s="121"/>
      <c r="I246" s="121"/>
      <c r="J246" s="121"/>
      <c r="K246" s="121"/>
      <c r="L246" s="121"/>
      <c r="M246" s="121"/>
      <c r="N246" s="121"/>
      <c r="O246" s="121"/>
      <c r="P246" s="121"/>
      <c r="Q246" s="121"/>
      <c r="R246" s="121"/>
      <c r="S246" s="121"/>
      <c r="T246" s="121"/>
      <c r="U246" s="121"/>
      <c r="V246" s="121"/>
    </row>
    <row r="247" spans="2:22" x14ac:dyDescent="0.3">
      <c r="B247" s="123"/>
      <c r="C247" s="123"/>
      <c r="D247" s="123"/>
      <c r="E247" s="123"/>
      <c r="F247" s="123"/>
      <c r="G247" s="123"/>
      <c r="H247" s="121"/>
      <c r="I247" s="121"/>
      <c r="J247" s="121"/>
      <c r="K247" s="121"/>
      <c r="L247" s="121"/>
      <c r="M247" s="121"/>
      <c r="N247" s="121"/>
      <c r="O247" s="121"/>
      <c r="P247" s="121"/>
      <c r="Q247" s="121"/>
      <c r="R247" s="121"/>
      <c r="S247" s="121"/>
      <c r="T247" s="121"/>
      <c r="U247" s="121"/>
      <c r="V247" s="121"/>
    </row>
    <row r="248" spans="2:22" x14ac:dyDescent="0.3">
      <c r="B248" s="123"/>
      <c r="C248" s="123"/>
      <c r="D248" s="123"/>
      <c r="E248" s="123"/>
      <c r="F248" s="123"/>
      <c r="G248" s="123"/>
      <c r="H248" s="121"/>
      <c r="I248" s="121"/>
      <c r="J248" s="121"/>
      <c r="K248" s="121"/>
      <c r="L248" s="121"/>
      <c r="M248" s="121"/>
      <c r="N248" s="121"/>
      <c r="O248" s="121"/>
      <c r="P248" s="121"/>
      <c r="Q248" s="121"/>
      <c r="R248" s="121"/>
      <c r="S248" s="121"/>
      <c r="T248" s="121"/>
      <c r="U248" s="121"/>
      <c r="V248" s="121"/>
    </row>
    <row r="249" spans="2:22" x14ac:dyDescent="0.3">
      <c r="B249" s="123"/>
      <c r="C249" s="123"/>
      <c r="D249" s="123"/>
      <c r="E249" s="123"/>
      <c r="F249" s="123"/>
      <c r="G249" s="123"/>
      <c r="H249" s="121"/>
      <c r="I249" s="121"/>
      <c r="J249" s="121"/>
      <c r="K249" s="121"/>
      <c r="L249" s="121"/>
      <c r="M249" s="121"/>
      <c r="N249" s="121"/>
      <c r="O249" s="121"/>
      <c r="P249" s="121"/>
      <c r="Q249" s="121"/>
      <c r="R249" s="121"/>
      <c r="S249" s="121"/>
      <c r="T249" s="121"/>
      <c r="U249" s="121"/>
      <c r="V249" s="121"/>
    </row>
    <row r="250" spans="2:22" x14ac:dyDescent="0.3">
      <c r="B250" s="123"/>
      <c r="C250" s="123"/>
      <c r="D250" s="123"/>
      <c r="E250" s="123"/>
      <c r="F250" s="123"/>
      <c r="G250" s="123"/>
      <c r="H250" s="121"/>
      <c r="I250" s="121"/>
      <c r="J250" s="121"/>
      <c r="K250" s="121"/>
      <c r="L250" s="121"/>
      <c r="M250" s="121"/>
      <c r="N250" s="121"/>
      <c r="O250" s="121"/>
      <c r="P250" s="121"/>
      <c r="Q250" s="121"/>
      <c r="R250" s="121"/>
      <c r="S250" s="121"/>
      <c r="T250" s="121"/>
      <c r="U250" s="121"/>
      <c r="V250" s="121"/>
    </row>
    <row r="251" spans="2:22" x14ac:dyDescent="0.3">
      <c r="B251" s="123"/>
      <c r="C251" s="123"/>
      <c r="D251" s="123"/>
      <c r="E251" s="123"/>
      <c r="F251" s="123"/>
      <c r="G251" s="123"/>
      <c r="H251" s="121"/>
      <c r="I251" s="121"/>
      <c r="J251" s="121"/>
      <c r="K251" s="121"/>
      <c r="L251" s="121"/>
      <c r="M251" s="121"/>
      <c r="N251" s="121"/>
      <c r="O251" s="121"/>
      <c r="P251" s="121"/>
      <c r="Q251" s="121"/>
      <c r="R251" s="121"/>
      <c r="S251" s="121"/>
      <c r="T251" s="121"/>
      <c r="U251" s="121"/>
      <c r="V251" s="121"/>
    </row>
    <row r="252" spans="2:22" x14ac:dyDescent="0.3">
      <c r="B252" s="123"/>
      <c r="C252" s="123"/>
      <c r="D252" s="123"/>
      <c r="E252" s="123"/>
      <c r="F252" s="123"/>
      <c r="G252" s="123"/>
      <c r="H252" s="121"/>
      <c r="I252" s="121"/>
      <c r="J252" s="121"/>
      <c r="K252" s="121"/>
      <c r="L252" s="121"/>
      <c r="M252" s="121"/>
      <c r="N252" s="121"/>
      <c r="O252" s="121"/>
      <c r="P252" s="121"/>
      <c r="Q252" s="121"/>
      <c r="R252" s="121"/>
      <c r="S252" s="121"/>
      <c r="T252" s="121"/>
      <c r="U252" s="121"/>
      <c r="V252" s="121"/>
    </row>
    <row r="253" spans="2:22" x14ac:dyDescent="0.3">
      <c r="B253" s="123"/>
      <c r="C253" s="123"/>
      <c r="D253" s="123"/>
      <c r="E253" s="123"/>
      <c r="F253" s="123"/>
      <c r="G253" s="123"/>
      <c r="H253" s="121"/>
      <c r="I253" s="121"/>
      <c r="J253" s="121"/>
      <c r="K253" s="121"/>
      <c r="L253" s="121"/>
      <c r="M253" s="121"/>
      <c r="N253" s="121"/>
      <c r="O253" s="121"/>
      <c r="P253" s="121"/>
      <c r="Q253" s="121"/>
      <c r="R253" s="121"/>
      <c r="S253" s="121"/>
      <c r="T253" s="121"/>
      <c r="U253" s="121"/>
      <c r="V253" s="121"/>
    </row>
    <row r="254" spans="2:22" x14ac:dyDescent="0.3">
      <c r="B254" s="123"/>
      <c r="C254" s="123"/>
      <c r="D254" s="123"/>
      <c r="E254" s="123"/>
      <c r="F254" s="123"/>
      <c r="G254" s="123"/>
      <c r="H254" s="121"/>
      <c r="I254" s="121"/>
      <c r="J254" s="121"/>
      <c r="K254" s="121"/>
      <c r="L254" s="121"/>
      <c r="M254" s="121"/>
      <c r="N254" s="121"/>
      <c r="O254" s="121"/>
      <c r="P254" s="121"/>
      <c r="Q254" s="121"/>
      <c r="R254" s="121"/>
      <c r="S254" s="121"/>
      <c r="T254" s="121"/>
      <c r="U254" s="121"/>
      <c r="V254" s="121"/>
    </row>
    <row r="255" spans="2:22" x14ac:dyDescent="0.3">
      <c r="B255" s="123"/>
      <c r="C255" s="123"/>
      <c r="D255" s="123"/>
      <c r="E255" s="123"/>
      <c r="F255" s="123"/>
      <c r="G255" s="123"/>
      <c r="H255" s="121"/>
      <c r="I255" s="121"/>
      <c r="J255" s="121"/>
      <c r="K255" s="121"/>
      <c r="L255" s="121"/>
      <c r="M255" s="121"/>
      <c r="N255" s="121"/>
      <c r="O255" s="121"/>
      <c r="P255" s="121"/>
      <c r="Q255" s="121"/>
      <c r="R255" s="121"/>
      <c r="S255" s="121"/>
      <c r="T255" s="121"/>
      <c r="U255" s="121"/>
      <c r="V255" s="121"/>
    </row>
    <row r="256" spans="2:22" x14ac:dyDescent="0.3">
      <c r="B256" s="123"/>
      <c r="C256" s="123"/>
      <c r="D256" s="123"/>
      <c r="E256" s="123"/>
      <c r="F256" s="123"/>
      <c r="G256" s="123"/>
      <c r="H256" s="121"/>
      <c r="I256" s="121"/>
      <c r="J256" s="121"/>
      <c r="K256" s="121"/>
      <c r="L256" s="121"/>
      <c r="M256" s="121"/>
      <c r="N256" s="121"/>
      <c r="O256" s="121"/>
      <c r="P256" s="121"/>
      <c r="Q256" s="121"/>
      <c r="R256" s="121"/>
      <c r="S256" s="121"/>
      <c r="T256" s="121"/>
      <c r="U256" s="121"/>
      <c r="V256" s="121"/>
    </row>
    <row r="257" spans="2:22" x14ac:dyDescent="0.3">
      <c r="B257" s="123"/>
      <c r="C257" s="123"/>
      <c r="D257" s="123"/>
      <c r="E257" s="123"/>
      <c r="F257" s="123"/>
      <c r="G257" s="123"/>
      <c r="H257" s="121"/>
      <c r="I257" s="121"/>
      <c r="J257" s="121"/>
      <c r="K257" s="121"/>
      <c r="L257" s="121"/>
      <c r="M257" s="121"/>
      <c r="N257" s="121"/>
      <c r="O257" s="121"/>
      <c r="P257" s="121"/>
      <c r="Q257" s="121"/>
      <c r="R257" s="121"/>
      <c r="S257" s="121"/>
      <c r="T257" s="121"/>
      <c r="U257" s="121"/>
      <c r="V257" s="121"/>
    </row>
    <row r="258" spans="2:22" x14ac:dyDescent="0.3">
      <c r="B258" s="123"/>
      <c r="C258" s="123"/>
      <c r="D258" s="123"/>
      <c r="E258" s="123"/>
      <c r="F258" s="123"/>
      <c r="G258" s="123"/>
      <c r="H258" s="121"/>
      <c r="I258" s="121"/>
      <c r="J258" s="121"/>
      <c r="K258" s="121"/>
      <c r="L258" s="121"/>
      <c r="M258" s="121"/>
      <c r="N258" s="121"/>
      <c r="O258" s="121"/>
      <c r="P258" s="121"/>
      <c r="Q258" s="121"/>
      <c r="R258" s="121"/>
      <c r="S258" s="121"/>
      <c r="T258" s="121"/>
      <c r="U258" s="121"/>
      <c r="V258" s="121"/>
    </row>
    <row r="259" spans="2:22" x14ac:dyDescent="0.3">
      <c r="B259" s="123"/>
      <c r="C259" s="123"/>
      <c r="D259" s="123"/>
      <c r="E259" s="123"/>
      <c r="F259" s="123"/>
      <c r="G259" s="123"/>
      <c r="H259" s="121"/>
      <c r="I259" s="121"/>
      <c r="J259" s="121"/>
      <c r="K259" s="121"/>
      <c r="L259" s="121"/>
      <c r="M259" s="121"/>
      <c r="N259" s="121"/>
      <c r="O259" s="121"/>
      <c r="P259" s="121"/>
      <c r="Q259" s="121"/>
      <c r="R259" s="121"/>
      <c r="S259" s="121"/>
      <c r="T259" s="121"/>
      <c r="U259" s="121"/>
      <c r="V259" s="121"/>
    </row>
    <row r="260" spans="2:22" x14ac:dyDescent="0.3">
      <c r="B260" s="123"/>
      <c r="C260" s="123"/>
      <c r="D260" s="123"/>
      <c r="E260" s="123"/>
      <c r="F260" s="123"/>
      <c r="G260" s="123"/>
      <c r="H260" s="121"/>
      <c r="I260" s="121"/>
      <c r="J260" s="121"/>
      <c r="K260" s="121"/>
      <c r="L260" s="121"/>
      <c r="M260" s="121"/>
      <c r="N260" s="121"/>
      <c r="O260" s="121"/>
      <c r="P260" s="121"/>
      <c r="Q260" s="121"/>
      <c r="R260" s="121"/>
      <c r="S260" s="121"/>
      <c r="T260" s="121"/>
      <c r="U260" s="121"/>
      <c r="V260" s="121"/>
    </row>
    <row r="261" spans="2:22" x14ac:dyDescent="0.3">
      <c r="B261" s="123"/>
      <c r="C261" s="123"/>
      <c r="D261" s="123"/>
      <c r="E261" s="123"/>
      <c r="F261" s="123"/>
      <c r="G261" s="123"/>
      <c r="H261" s="121"/>
      <c r="I261" s="121"/>
      <c r="J261" s="121"/>
      <c r="K261" s="121"/>
      <c r="L261" s="121"/>
      <c r="M261" s="121"/>
      <c r="N261" s="121"/>
      <c r="O261" s="121"/>
      <c r="P261" s="121"/>
      <c r="Q261" s="121"/>
      <c r="R261" s="121"/>
      <c r="S261" s="121"/>
      <c r="T261" s="121"/>
      <c r="U261" s="121"/>
      <c r="V261" s="121"/>
    </row>
    <row r="262" spans="2:22" x14ac:dyDescent="0.3">
      <c r="B262" s="123"/>
      <c r="C262" s="123"/>
      <c r="D262" s="123"/>
      <c r="E262" s="123"/>
      <c r="F262" s="123"/>
      <c r="G262" s="123"/>
      <c r="H262" s="121"/>
      <c r="I262" s="121"/>
      <c r="J262" s="121"/>
      <c r="K262" s="121"/>
      <c r="L262" s="121"/>
      <c r="M262" s="121"/>
      <c r="N262" s="121"/>
      <c r="O262" s="121"/>
      <c r="P262" s="121"/>
      <c r="Q262" s="121"/>
      <c r="R262" s="121"/>
      <c r="S262" s="121"/>
      <c r="T262" s="121"/>
      <c r="U262" s="121"/>
      <c r="V262" s="121"/>
    </row>
    <row r="263" spans="2:22" x14ac:dyDescent="0.3">
      <c r="B263" s="123"/>
      <c r="C263" s="123"/>
      <c r="D263" s="123"/>
      <c r="E263" s="123"/>
      <c r="F263" s="123"/>
      <c r="G263" s="123"/>
      <c r="H263" s="121"/>
      <c r="I263" s="121"/>
      <c r="J263" s="121"/>
      <c r="K263" s="121"/>
      <c r="L263" s="121"/>
      <c r="M263" s="121"/>
      <c r="N263" s="121"/>
      <c r="O263" s="121"/>
      <c r="P263" s="121"/>
      <c r="Q263" s="121"/>
      <c r="R263" s="121"/>
      <c r="S263" s="121"/>
      <c r="T263" s="121"/>
      <c r="U263" s="121"/>
      <c r="V263" s="121"/>
    </row>
    <row r="264" spans="2:22" x14ac:dyDescent="0.3">
      <c r="B264" s="123"/>
      <c r="C264" s="123"/>
      <c r="D264" s="123"/>
      <c r="E264" s="123"/>
      <c r="F264" s="123"/>
      <c r="G264" s="123"/>
      <c r="H264" s="121"/>
      <c r="I264" s="121"/>
      <c r="J264" s="121"/>
      <c r="K264" s="121"/>
      <c r="L264" s="121"/>
      <c r="M264" s="121"/>
      <c r="N264" s="121"/>
      <c r="O264" s="121"/>
      <c r="P264" s="121"/>
      <c r="Q264" s="121"/>
      <c r="R264" s="121"/>
      <c r="S264" s="121"/>
      <c r="T264" s="121"/>
      <c r="U264" s="121"/>
      <c r="V264" s="121"/>
    </row>
    <row r="265" spans="2:22" x14ac:dyDescent="0.3">
      <c r="B265" s="123"/>
      <c r="C265" s="123"/>
      <c r="D265" s="123"/>
      <c r="E265" s="123"/>
      <c r="F265" s="123"/>
      <c r="G265" s="123"/>
      <c r="H265" s="121"/>
      <c r="I265" s="121"/>
      <c r="J265" s="121"/>
      <c r="K265" s="121"/>
      <c r="L265" s="121"/>
      <c r="M265" s="121"/>
      <c r="N265" s="121"/>
      <c r="O265" s="121"/>
      <c r="P265" s="121"/>
      <c r="Q265" s="121"/>
      <c r="R265" s="121"/>
      <c r="S265" s="121"/>
      <c r="T265" s="121"/>
      <c r="U265" s="121"/>
      <c r="V265" s="121"/>
    </row>
    <row r="266" spans="2:22" x14ac:dyDescent="0.3">
      <c r="B266" s="123"/>
      <c r="C266" s="123"/>
      <c r="D266" s="123"/>
      <c r="E266" s="123"/>
      <c r="F266" s="123"/>
      <c r="G266" s="123"/>
      <c r="H266" s="121"/>
      <c r="I266" s="121"/>
      <c r="J266" s="121"/>
      <c r="K266" s="121"/>
      <c r="L266" s="121"/>
      <c r="M266" s="121"/>
      <c r="N266" s="121"/>
      <c r="O266" s="121"/>
      <c r="P266" s="121"/>
      <c r="Q266" s="121"/>
      <c r="R266" s="121"/>
      <c r="S266" s="121"/>
      <c r="T266" s="121"/>
      <c r="U266" s="121"/>
      <c r="V266" s="121"/>
    </row>
    <row r="267" spans="2:22" x14ac:dyDescent="0.3">
      <c r="B267" s="123"/>
      <c r="C267" s="123"/>
      <c r="D267" s="123"/>
      <c r="E267" s="123"/>
      <c r="F267" s="123"/>
      <c r="G267" s="123"/>
      <c r="H267" s="121"/>
      <c r="I267" s="121"/>
      <c r="J267" s="121"/>
      <c r="K267" s="121"/>
      <c r="L267" s="121"/>
      <c r="M267" s="121"/>
      <c r="N267" s="121"/>
      <c r="O267" s="121"/>
      <c r="P267" s="121"/>
      <c r="Q267" s="121"/>
      <c r="R267" s="121"/>
      <c r="S267" s="121"/>
      <c r="T267" s="121"/>
      <c r="U267" s="121"/>
      <c r="V267" s="121"/>
    </row>
    <row r="268" spans="2:22" x14ac:dyDescent="0.3">
      <c r="B268" s="123"/>
      <c r="C268" s="123"/>
      <c r="D268" s="123"/>
      <c r="E268" s="123"/>
      <c r="F268" s="123"/>
      <c r="G268" s="123"/>
      <c r="H268" s="121"/>
      <c r="I268" s="121"/>
      <c r="J268" s="121"/>
      <c r="K268" s="121"/>
      <c r="L268" s="121"/>
      <c r="M268" s="121"/>
      <c r="N268" s="121"/>
      <c r="O268" s="121"/>
      <c r="P268" s="121"/>
      <c r="Q268" s="121"/>
      <c r="R268" s="121"/>
      <c r="S268" s="121"/>
      <c r="T268" s="121"/>
      <c r="U268" s="121"/>
      <c r="V268" s="121"/>
    </row>
    <row r="269" spans="2:22" x14ac:dyDescent="0.3">
      <c r="B269" s="123"/>
      <c r="C269" s="123"/>
      <c r="D269" s="123"/>
      <c r="E269" s="123"/>
      <c r="F269" s="123"/>
      <c r="G269" s="123"/>
      <c r="H269" s="121"/>
      <c r="I269" s="121"/>
      <c r="J269" s="121"/>
      <c r="K269" s="121"/>
      <c r="L269" s="121"/>
      <c r="M269" s="121"/>
      <c r="N269" s="121"/>
      <c r="O269" s="121"/>
      <c r="P269" s="121"/>
      <c r="Q269" s="121"/>
      <c r="R269" s="121"/>
      <c r="S269" s="121"/>
      <c r="T269" s="121"/>
      <c r="U269" s="121"/>
      <c r="V269" s="121"/>
    </row>
    <row r="270" spans="2:22" x14ac:dyDescent="0.3">
      <c r="B270" s="123"/>
      <c r="C270" s="123"/>
      <c r="D270" s="123"/>
      <c r="E270" s="123"/>
      <c r="F270" s="123"/>
      <c r="G270" s="123"/>
      <c r="H270" s="121"/>
      <c r="I270" s="121"/>
      <c r="J270" s="121"/>
      <c r="K270" s="121"/>
      <c r="L270" s="121"/>
      <c r="M270" s="121"/>
      <c r="N270" s="121"/>
      <c r="O270" s="121"/>
      <c r="P270" s="121"/>
      <c r="Q270" s="121"/>
      <c r="R270" s="121"/>
      <c r="S270" s="121"/>
      <c r="T270" s="121"/>
      <c r="U270" s="121"/>
      <c r="V270" s="121"/>
    </row>
    <row r="271" spans="2:22" x14ac:dyDescent="0.3">
      <c r="B271" s="123"/>
      <c r="C271" s="123"/>
      <c r="D271" s="123"/>
      <c r="E271" s="123"/>
      <c r="F271" s="123"/>
      <c r="G271" s="123"/>
      <c r="H271" s="121"/>
      <c r="I271" s="121"/>
      <c r="J271" s="121"/>
      <c r="K271" s="121"/>
      <c r="L271" s="121"/>
      <c r="M271" s="121"/>
      <c r="N271" s="121"/>
      <c r="O271" s="121"/>
      <c r="P271" s="121"/>
      <c r="Q271" s="121"/>
      <c r="R271" s="121"/>
      <c r="S271" s="121"/>
      <c r="T271" s="121"/>
      <c r="U271" s="121"/>
      <c r="V271" s="121"/>
    </row>
    <row r="272" spans="2:22" x14ac:dyDescent="0.3">
      <c r="B272" s="123"/>
      <c r="C272" s="123"/>
      <c r="D272" s="123"/>
      <c r="E272" s="123"/>
      <c r="F272" s="123"/>
      <c r="G272" s="123"/>
      <c r="H272" s="121"/>
      <c r="I272" s="121"/>
      <c r="J272" s="121"/>
      <c r="K272" s="121"/>
      <c r="L272" s="121"/>
      <c r="M272" s="121"/>
      <c r="N272" s="121"/>
      <c r="O272" s="121"/>
      <c r="P272" s="121"/>
      <c r="Q272" s="121"/>
      <c r="R272" s="121"/>
      <c r="S272" s="121"/>
      <c r="T272" s="121"/>
      <c r="U272" s="121"/>
      <c r="V272" s="121"/>
    </row>
    <row r="273" spans="2:22" x14ac:dyDescent="0.3">
      <c r="B273" s="123"/>
      <c r="C273" s="123"/>
      <c r="D273" s="123"/>
      <c r="E273" s="123"/>
      <c r="F273" s="123"/>
      <c r="G273" s="123"/>
      <c r="H273" s="121"/>
      <c r="I273" s="121"/>
      <c r="J273" s="121"/>
      <c r="K273" s="121"/>
      <c r="L273" s="121"/>
      <c r="M273" s="121"/>
      <c r="N273" s="121"/>
      <c r="O273" s="121"/>
      <c r="P273" s="121"/>
      <c r="Q273" s="121"/>
      <c r="R273" s="121"/>
      <c r="S273" s="121"/>
      <c r="T273" s="121"/>
      <c r="U273" s="121"/>
      <c r="V273" s="121"/>
    </row>
    <row r="274" spans="2:22" x14ac:dyDescent="0.3">
      <c r="B274" s="123"/>
      <c r="C274" s="123"/>
      <c r="D274" s="123"/>
      <c r="E274" s="123"/>
      <c r="F274" s="123"/>
      <c r="G274" s="123"/>
      <c r="H274" s="121"/>
      <c r="I274" s="121"/>
      <c r="J274" s="121"/>
      <c r="K274" s="121"/>
      <c r="L274" s="121"/>
      <c r="M274" s="121"/>
      <c r="N274" s="121"/>
      <c r="O274" s="121"/>
      <c r="P274" s="121"/>
      <c r="Q274" s="121"/>
      <c r="R274" s="121"/>
      <c r="S274" s="121"/>
      <c r="T274" s="121"/>
      <c r="U274" s="121"/>
      <c r="V274" s="121"/>
    </row>
    <row r="275" spans="2:22" x14ac:dyDescent="0.3">
      <c r="B275" s="123"/>
      <c r="C275" s="123"/>
      <c r="D275" s="123"/>
      <c r="E275" s="123"/>
      <c r="F275" s="123"/>
      <c r="G275" s="123"/>
      <c r="H275" s="121"/>
      <c r="I275" s="121"/>
      <c r="J275" s="121"/>
      <c r="K275" s="121"/>
      <c r="L275" s="121"/>
      <c r="M275" s="121"/>
      <c r="N275" s="121"/>
      <c r="O275" s="121"/>
      <c r="P275" s="121"/>
      <c r="Q275" s="121"/>
      <c r="R275" s="121"/>
      <c r="S275" s="121"/>
      <c r="T275" s="121"/>
      <c r="U275" s="121"/>
      <c r="V275" s="121"/>
    </row>
    <row r="276" spans="2:22" x14ac:dyDescent="0.3">
      <c r="B276" s="123"/>
      <c r="C276" s="123"/>
      <c r="D276" s="123"/>
      <c r="E276" s="123"/>
      <c r="F276" s="123"/>
      <c r="G276" s="123"/>
      <c r="H276" s="121"/>
      <c r="I276" s="121"/>
      <c r="J276" s="121"/>
      <c r="K276" s="121"/>
      <c r="L276" s="121"/>
      <c r="M276" s="121"/>
      <c r="N276" s="121"/>
      <c r="O276" s="121"/>
      <c r="P276" s="121"/>
      <c r="Q276" s="121"/>
      <c r="R276" s="121"/>
      <c r="S276" s="121"/>
      <c r="T276" s="121"/>
      <c r="U276" s="121"/>
      <c r="V276" s="121"/>
    </row>
    <row r="277" spans="2:22" x14ac:dyDescent="0.3">
      <c r="B277" s="123"/>
      <c r="C277" s="123"/>
      <c r="D277" s="123"/>
      <c r="E277" s="123"/>
      <c r="F277" s="123"/>
      <c r="G277" s="123"/>
      <c r="H277" s="121"/>
      <c r="I277" s="121"/>
      <c r="J277" s="121"/>
      <c r="K277" s="121"/>
      <c r="L277" s="121"/>
      <c r="M277" s="121"/>
      <c r="N277" s="121"/>
      <c r="O277" s="121"/>
      <c r="P277" s="121"/>
      <c r="Q277" s="121"/>
      <c r="R277" s="121"/>
      <c r="S277" s="121"/>
      <c r="T277" s="121"/>
      <c r="U277" s="121"/>
      <c r="V277" s="121"/>
    </row>
    <row r="278" spans="2:22" x14ac:dyDescent="0.3">
      <c r="B278" s="123"/>
      <c r="C278" s="123"/>
      <c r="D278" s="123"/>
      <c r="E278" s="123"/>
      <c r="F278" s="123"/>
      <c r="G278" s="123"/>
      <c r="H278" s="121"/>
      <c r="I278" s="121"/>
      <c r="J278" s="121"/>
      <c r="K278" s="121"/>
      <c r="L278" s="121"/>
      <c r="M278" s="121"/>
      <c r="N278" s="121"/>
      <c r="O278" s="121"/>
      <c r="P278" s="121"/>
      <c r="Q278" s="121"/>
      <c r="R278" s="121"/>
      <c r="S278" s="121"/>
      <c r="T278" s="121"/>
      <c r="U278" s="121"/>
      <c r="V278" s="121"/>
    </row>
    <row r="279" spans="2:22" x14ac:dyDescent="0.3">
      <c r="B279" s="123"/>
      <c r="C279" s="123"/>
      <c r="D279" s="123"/>
      <c r="E279" s="123"/>
      <c r="F279" s="123"/>
      <c r="G279" s="123"/>
      <c r="H279" s="121"/>
      <c r="I279" s="121"/>
      <c r="J279" s="121"/>
      <c r="K279" s="121"/>
      <c r="L279" s="121"/>
      <c r="M279" s="121"/>
      <c r="N279" s="121"/>
      <c r="O279" s="121"/>
      <c r="P279" s="121"/>
      <c r="Q279" s="121"/>
      <c r="R279" s="121"/>
      <c r="S279" s="121"/>
      <c r="T279" s="121"/>
      <c r="U279" s="121"/>
      <c r="V279" s="121"/>
    </row>
    <row r="280" spans="2:22" x14ac:dyDescent="0.3">
      <c r="B280" s="123"/>
      <c r="C280" s="123"/>
      <c r="D280" s="123"/>
      <c r="E280" s="123"/>
      <c r="F280" s="123"/>
      <c r="G280" s="123"/>
      <c r="H280" s="121"/>
      <c r="I280" s="121"/>
      <c r="J280" s="121"/>
      <c r="K280" s="121"/>
      <c r="L280" s="121"/>
      <c r="M280" s="121"/>
      <c r="N280" s="121"/>
      <c r="O280" s="121"/>
      <c r="P280" s="121"/>
      <c r="Q280" s="121"/>
      <c r="R280" s="121"/>
      <c r="S280" s="121"/>
      <c r="T280" s="121"/>
      <c r="U280" s="121"/>
      <c r="V280" s="121"/>
    </row>
    <row r="281" spans="2:22" x14ac:dyDescent="0.3">
      <c r="B281" s="123"/>
      <c r="C281" s="123"/>
      <c r="D281" s="123"/>
      <c r="E281" s="123"/>
      <c r="F281" s="123"/>
      <c r="G281" s="123"/>
      <c r="H281" s="121"/>
      <c r="I281" s="121"/>
      <c r="J281" s="121"/>
      <c r="K281" s="121"/>
      <c r="L281" s="121"/>
      <c r="M281" s="121"/>
      <c r="N281" s="121"/>
      <c r="O281" s="121"/>
      <c r="P281" s="121"/>
      <c r="Q281" s="121"/>
      <c r="R281" s="121"/>
      <c r="S281" s="121"/>
      <c r="T281" s="121"/>
      <c r="U281" s="121"/>
      <c r="V281" s="121"/>
    </row>
    <row r="282" spans="2:22" x14ac:dyDescent="0.3">
      <c r="B282" s="123"/>
      <c r="C282" s="123"/>
      <c r="D282" s="123"/>
      <c r="E282" s="123"/>
      <c r="F282" s="123"/>
      <c r="G282" s="123"/>
      <c r="H282" s="121"/>
      <c r="I282" s="121"/>
      <c r="J282" s="121"/>
      <c r="K282" s="121"/>
      <c r="L282" s="121"/>
      <c r="M282" s="121"/>
      <c r="N282" s="121"/>
      <c r="O282" s="121"/>
      <c r="P282" s="121"/>
      <c r="Q282" s="121"/>
      <c r="R282" s="121"/>
      <c r="S282" s="121"/>
      <c r="T282" s="121"/>
      <c r="U282" s="121"/>
      <c r="V282" s="121"/>
    </row>
    <row r="283" spans="2:22" x14ac:dyDescent="0.3">
      <c r="B283" s="123"/>
      <c r="C283" s="123"/>
      <c r="D283" s="123"/>
      <c r="E283" s="123"/>
      <c r="F283" s="123"/>
      <c r="G283" s="123"/>
      <c r="H283" s="121"/>
      <c r="I283" s="121"/>
      <c r="J283" s="121"/>
      <c r="K283" s="121"/>
      <c r="L283" s="121"/>
      <c r="M283" s="121"/>
      <c r="N283" s="121"/>
      <c r="O283" s="121"/>
      <c r="P283" s="121"/>
      <c r="Q283" s="121"/>
      <c r="R283" s="121"/>
      <c r="S283" s="121"/>
      <c r="T283" s="121"/>
      <c r="U283" s="121"/>
      <c r="V283" s="121"/>
    </row>
    <row r="284" spans="2:22" x14ac:dyDescent="0.3">
      <c r="B284" s="123"/>
      <c r="C284" s="123"/>
      <c r="D284" s="123"/>
      <c r="E284" s="123"/>
      <c r="F284" s="123"/>
      <c r="G284" s="123"/>
      <c r="H284" s="121"/>
      <c r="I284" s="121"/>
      <c r="J284" s="121"/>
      <c r="K284" s="121"/>
      <c r="L284" s="121"/>
      <c r="M284" s="121"/>
      <c r="N284" s="121"/>
      <c r="O284" s="121"/>
      <c r="P284" s="121"/>
      <c r="Q284" s="121"/>
      <c r="R284" s="121"/>
      <c r="S284" s="121"/>
      <c r="T284" s="121"/>
      <c r="U284" s="121"/>
      <c r="V284" s="121"/>
    </row>
    <row r="285" spans="2:22" x14ac:dyDescent="0.3">
      <c r="B285" s="123"/>
      <c r="C285" s="123"/>
      <c r="D285" s="123"/>
      <c r="E285" s="123"/>
      <c r="F285" s="123"/>
      <c r="G285" s="123"/>
      <c r="H285" s="121"/>
      <c r="I285" s="121"/>
      <c r="J285" s="121"/>
      <c r="K285" s="121"/>
      <c r="L285" s="121"/>
      <c r="M285" s="121"/>
      <c r="N285" s="121"/>
      <c r="O285" s="121"/>
      <c r="P285" s="121"/>
      <c r="Q285" s="121"/>
      <c r="R285" s="121"/>
      <c r="S285" s="121"/>
      <c r="T285" s="121"/>
      <c r="U285" s="121"/>
      <c r="V285" s="121"/>
    </row>
    <row r="286" spans="2:22" x14ac:dyDescent="0.3">
      <c r="B286" s="123"/>
      <c r="C286" s="123"/>
      <c r="D286" s="123"/>
      <c r="E286" s="123"/>
      <c r="F286" s="123"/>
      <c r="G286" s="123"/>
      <c r="H286" s="121"/>
      <c r="I286" s="121"/>
      <c r="J286" s="121"/>
      <c r="K286" s="121"/>
      <c r="L286" s="121"/>
      <c r="M286" s="121"/>
      <c r="N286" s="121"/>
      <c r="O286" s="121"/>
      <c r="P286" s="121"/>
      <c r="Q286" s="121"/>
      <c r="R286" s="121"/>
      <c r="S286" s="121"/>
      <c r="T286" s="121"/>
      <c r="U286" s="121"/>
      <c r="V286" s="121"/>
    </row>
    <row r="287" spans="2:22" x14ac:dyDescent="0.3">
      <c r="B287" s="123"/>
      <c r="C287" s="123"/>
      <c r="D287" s="123"/>
      <c r="E287" s="123"/>
      <c r="F287" s="123"/>
      <c r="G287" s="123"/>
      <c r="H287" s="121"/>
      <c r="I287" s="121"/>
      <c r="J287" s="121"/>
      <c r="K287" s="121"/>
      <c r="L287" s="121"/>
      <c r="M287" s="121"/>
      <c r="N287" s="121"/>
      <c r="O287" s="121"/>
      <c r="P287" s="121"/>
      <c r="Q287" s="121"/>
      <c r="R287" s="121"/>
      <c r="S287" s="121"/>
      <c r="T287" s="121"/>
      <c r="U287" s="121"/>
      <c r="V287" s="121"/>
    </row>
    <row r="288" spans="2:22" x14ac:dyDescent="0.3">
      <c r="B288" s="123"/>
      <c r="C288" s="123"/>
      <c r="D288" s="123"/>
      <c r="E288" s="123"/>
      <c r="F288" s="123"/>
      <c r="G288" s="123"/>
      <c r="H288" s="121"/>
      <c r="I288" s="121"/>
      <c r="J288" s="121"/>
      <c r="K288" s="121"/>
      <c r="L288" s="121"/>
      <c r="M288" s="121"/>
      <c r="N288" s="121"/>
      <c r="O288" s="121"/>
      <c r="P288" s="121"/>
      <c r="Q288" s="121"/>
      <c r="R288" s="121"/>
      <c r="S288" s="121"/>
      <c r="T288" s="121"/>
      <c r="U288" s="121"/>
      <c r="V288" s="121"/>
    </row>
    <row r="289" spans="2:22" x14ac:dyDescent="0.3">
      <c r="B289" s="123"/>
      <c r="C289" s="123"/>
      <c r="D289" s="123"/>
      <c r="E289" s="123"/>
      <c r="F289" s="123"/>
      <c r="G289" s="123"/>
      <c r="H289" s="121"/>
      <c r="I289" s="121"/>
      <c r="J289" s="121"/>
      <c r="K289" s="121"/>
      <c r="L289" s="121"/>
      <c r="M289" s="121"/>
      <c r="N289" s="121"/>
      <c r="O289" s="121"/>
      <c r="P289" s="121"/>
      <c r="Q289" s="121"/>
      <c r="R289" s="121"/>
      <c r="S289" s="121"/>
      <c r="T289" s="121"/>
      <c r="U289" s="121"/>
      <c r="V289" s="121"/>
    </row>
    <row r="290" spans="2:22" x14ac:dyDescent="0.3">
      <c r="B290" s="123"/>
      <c r="C290" s="123"/>
      <c r="D290" s="123"/>
      <c r="E290" s="123"/>
      <c r="F290" s="123"/>
      <c r="G290" s="123"/>
      <c r="H290" s="121"/>
      <c r="I290" s="121"/>
      <c r="J290" s="121"/>
      <c r="K290" s="121"/>
      <c r="L290" s="121"/>
      <c r="M290" s="121"/>
      <c r="N290" s="121"/>
      <c r="O290" s="121"/>
      <c r="P290" s="121"/>
      <c r="Q290" s="121"/>
      <c r="R290" s="121"/>
      <c r="S290" s="121"/>
      <c r="T290" s="121"/>
      <c r="U290" s="121"/>
      <c r="V290" s="121"/>
    </row>
    <row r="291" spans="2:22" x14ac:dyDescent="0.3">
      <c r="B291" s="123"/>
      <c r="C291" s="123"/>
      <c r="D291" s="123"/>
      <c r="E291" s="123"/>
      <c r="F291" s="123"/>
      <c r="G291" s="123"/>
      <c r="H291" s="121"/>
      <c r="I291" s="121"/>
      <c r="J291" s="121"/>
      <c r="K291" s="121"/>
      <c r="L291" s="121"/>
      <c r="M291" s="121"/>
      <c r="N291" s="121"/>
      <c r="O291" s="121"/>
      <c r="P291" s="121"/>
      <c r="Q291" s="121"/>
      <c r="R291" s="121"/>
      <c r="S291" s="121"/>
      <c r="T291" s="121"/>
      <c r="U291" s="121"/>
      <c r="V291" s="121"/>
    </row>
    <row r="292" spans="2:22" x14ac:dyDescent="0.3">
      <c r="B292" s="123"/>
      <c r="C292" s="123"/>
      <c r="D292" s="123"/>
      <c r="E292" s="123"/>
      <c r="F292" s="123"/>
      <c r="G292" s="123"/>
      <c r="H292" s="121"/>
      <c r="I292" s="121"/>
      <c r="J292" s="121"/>
      <c r="K292" s="121"/>
      <c r="L292" s="121"/>
      <c r="M292" s="121"/>
      <c r="N292" s="121"/>
      <c r="O292" s="121"/>
      <c r="P292" s="121"/>
      <c r="Q292" s="121"/>
      <c r="R292" s="121"/>
      <c r="S292" s="121"/>
      <c r="T292" s="121"/>
      <c r="U292" s="121"/>
      <c r="V292" s="121"/>
    </row>
    <row r="293" spans="2:22" x14ac:dyDescent="0.3">
      <c r="B293" s="123"/>
      <c r="C293" s="123"/>
      <c r="D293" s="123"/>
      <c r="E293" s="123"/>
      <c r="F293" s="123"/>
      <c r="G293" s="123"/>
      <c r="H293" s="121"/>
      <c r="I293" s="121"/>
      <c r="J293" s="121"/>
      <c r="K293" s="121"/>
      <c r="L293" s="121"/>
      <c r="M293" s="121"/>
      <c r="N293" s="121"/>
      <c r="O293" s="121"/>
      <c r="P293" s="121"/>
      <c r="Q293" s="121"/>
      <c r="R293" s="121"/>
      <c r="S293" s="121"/>
      <c r="T293" s="121"/>
      <c r="U293" s="121"/>
      <c r="V293" s="121"/>
    </row>
    <row r="294" spans="2:22" x14ac:dyDescent="0.3">
      <c r="B294" s="123"/>
      <c r="C294" s="123"/>
      <c r="D294" s="123"/>
      <c r="E294" s="123"/>
      <c r="F294" s="123"/>
      <c r="G294" s="123"/>
      <c r="H294" s="121"/>
      <c r="I294" s="121"/>
      <c r="J294" s="121"/>
      <c r="K294" s="121"/>
      <c r="L294" s="121"/>
      <c r="M294" s="121"/>
      <c r="N294" s="121"/>
      <c r="O294" s="121"/>
      <c r="P294" s="121"/>
      <c r="Q294" s="121"/>
      <c r="R294" s="121"/>
      <c r="S294" s="121"/>
      <c r="T294" s="121"/>
      <c r="U294" s="121"/>
      <c r="V294" s="121"/>
    </row>
    <row r="295" spans="2:22" x14ac:dyDescent="0.3">
      <c r="B295" s="123"/>
      <c r="C295" s="123"/>
      <c r="D295" s="123"/>
      <c r="E295" s="123"/>
      <c r="F295" s="123"/>
      <c r="G295" s="123"/>
      <c r="H295" s="121"/>
      <c r="I295" s="121"/>
      <c r="J295" s="121"/>
      <c r="K295" s="121"/>
      <c r="L295" s="121"/>
      <c r="M295" s="121"/>
      <c r="N295" s="121"/>
      <c r="O295" s="121"/>
      <c r="P295" s="121"/>
      <c r="Q295" s="121"/>
      <c r="R295" s="121"/>
      <c r="S295" s="121"/>
      <c r="T295" s="121"/>
      <c r="U295" s="121"/>
      <c r="V295" s="121"/>
    </row>
    <row r="296" spans="2:22" x14ac:dyDescent="0.3">
      <c r="B296" s="123"/>
      <c r="C296" s="123"/>
      <c r="D296" s="123"/>
      <c r="E296" s="123"/>
      <c r="F296" s="123"/>
      <c r="G296" s="123"/>
      <c r="H296" s="121"/>
      <c r="I296" s="121"/>
      <c r="J296" s="121"/>
      <c r="K296" s="121"/>
      <c r="L296" s="121"/>
      <c r="M296" s="121"/>
      <c r="N296" s="121"/>
      <c r="O296" s="121"/>
      <c r="P296" s="121"/>
      <c r="Q296" s="121"/>
      <c r="R296" s="121"/>
      <c r="S296" s="121"/>
      <c r="T296" s="121"/>
      <c r="U296" s="121"/>
      <c r="V296" s="121"/>
    </row>
    <row r="297" spans="2:22" x14ac:dyDescent="0.3">
      <c r="B297" s="123"/>
      <c r="C297" s="123"/>
      <c r="D297" s="123"/>
      <c r="E297" s="123"/>
      <c r="F297" s="123"/>
      <c r="G297" s="123"/>
      <c r="H297" s="121"/>
      <c r="I297" s="121"/>
      <c r="J297" s="121"/>
      <c r="K297" s="121"/>
      <c r="L297" s="121"/>
      <c r="M297" s="121"/>
      <c r="N297" s="121"/>
      <c r="O297" s="121"/>
      <c r="P297" s="121"/>
      <c r="Q297" s="121"/>
      <c r="R297" s="121"/>
      <c r="S297" s="121"/>
      <c r="T297" s="121"/>
      <c r="U297" s="121"/>
      <c r="V297" s="121"/>
    </row>
    <row r="298" spans="2:22" x14ac:dyDescent="0.3">
      <c r="B298" s="123"/>
      <c r="C298" s="123"/>
      <c r="D298" s="123"/>
      <c r="E298" s="123"/>
      <c r="F298" s="123"/>
      <c r="G298" s="123"/>
      <c r="H298" s="121"/>
      <c r="I298" s="121"/>
      <c r="J298" s="121"/>
      <c r="K298" s="121"/>
      <c r="L298" s="121"/>
      <c r="M298" s="121"/>
      <c r="N298" s="121"/>
      <c r="O298" s="121"/>
      <c r="P298" s="121"/>
      <c r="Q298" s="121"/>
      <c r="R298" s="121"/>
      <c r="S298" s="121"/>
      <c r="T298" s="121"/>
      <c r="U298" s="121"/>
      <c r="V298" s="121"/>
    </row>
    <row r="299" spans="2:22" x14ac:dyDescent="0.3">
      <c r="B299" s="123"/>
      <c r="C299" s="123"/>
      <c r="D299" s="123"/>
      <c r="E299" s="123"/>
      <c r="F299" s="123"/>
      <c r="G299" s="123"/>
      <c r="H299" s="121"/>
      <c r="I299" s="121"/>
      <c r="J299" s="121"/>
      <c r="K299" s="121"/>
      <c r="L299" s="121"/>
      <c r="M299" s="121"/>
      <c r="N299" s="121"/>
      <c r="O299" s="121"/>
      <c r="P299" s="121"/>
      <c r="Q299" s="121"/>
      <c r="R299" s="121"/>
      <c r="S299" s="121"/>
      <c r="T299" s="121"/>
      <c r="U299" s="121"/>
      <c r="V299" s="121"/>
    </row>
    <row r="300" spans="2:22" x14ac:dyDescent="0.3">
      <c r="B300" s="123"/>
      <c r="C300" s="123"/>
      <c r="D300" s="123"/>
      <c r="E300" s="123"/>
      <c r="F300" s="123"/>
      <c r="G300" s="123"/>
      <c r="H300" s="121"/>
      <c r="I300" s="121"/>
      <c r="J300" s="121"/>
      <c r="K300" s="121"/>
      <c r="L300" s="121"/>
      <c r="M300" s="121"/>
      <c r="N300" s="121"/>
      <c r="O300" s="121"/>
      <c r="P300" s="121"/>
      <c r="Q300" s="121"/>
      <c r="R300" s="121"/>
      <c r="S300" s="121"/>
      <c r="T300" s="121"/>
      <c r="U300" s="121"/>
      <c r="V300" s="121"/>
    </row>
    <row r="301" spans="2:22" x14ac:dyDescent="0.3">
      <c r="B301" s="123"/>
      <c r="C301" s="123"/>
      <c r="D301" s="123"/>
      <c r="E301" s="123"/>
      <c r="F301" s="123"/>
      <c r="G301" s="123"/>
      <c r="H301" s="121"/>
      <c r="I301" s="121"/>
      <c r="J301" s="121"/>
      <c r="K301" s="121"/>
      <c r="L301" s="121"/>
      <c r="M301" s="121"/>
      <c r="N301" s="121"/>
      <c r="O301" s="121"/>
      <c r="P301" s="121"/>
      <c r="Q301" s="121"/>
      <c r="R301" s="121"/>
      <c r="S301" s="121"/>
      <c r="T301" s="121"/>
      <c r="U301" s="121"/>
      <c r="V301" s="121"/>
    </row>
    <row r="302" spans="2:22" x14ac:dyDescent="0.3">
      <c r="B302" s="123"/>
      <c r="C302" s="123"/>
      <c r="D302" s="123"/>
      <c r="E302" s="123"/>
      <c r="F302" s="123"/>
      <c r="G302" s="123"/>
      <c r="H302" s="121"/>
      <c r="I302" s="121"/>
      <c r="J302" s="121"/>
      <c r="K302" s="121"/>
      <c r="L302" s="121"/>
      <c r="M302" s="121"/>
      <c r="N302" s="121"/>
      <c r="O302" s="121"/>
      <c r="P302" s="121"/>
      <c r="Q302" s="121"/>
      <c r="R302" s="121"/>
      <c r="S302" s="121"/>
      <c r="T302" s="121"/>
      <c r="U302" s="121"/>
      <c r="V302" s="121"/>
    </row>
    <row r="303" spans="2:22" x14ac:dyDescent="0.3">
      <c r="B303" s="123"/>
      <c r="C303" s="123"/>
      <c r="D303" s="123"/>
      <c r="E303" s="123"/>
      <c r="F303" s="123"/>
      <c r="G303" s="123"/>
      <c r="H303" s="121"/>
      <c r="I303" s="121"/>
      <c r="J303" s="121"/>
      <c r="K303" s="121"/>
      <c r="L303" s="121"/>
      <c r="M303" s="121"/>
      <c r="N303" s="121"/>
      <c r="O303" s="121"/>
      <c r="P303" s="121"/>
      <c r="Q303" s="121"/>
      <c r="R303" s="121"/>
      <c r="S303" s="121"/>
      <c r="T303" s="121"/>
      <c r="U303" s="121"/>
      <c r="V303" s="121"/>
    </row>
    <row r="304" spans="2:22" x14ac:dyDescent="0.3">
      <c r="B304" s="123"/>
      <c r="C304" s="123"/>
      <c r="D304" s="123"/>
      <c r="E304" s="123"/>
      <c r="F304" s="123"/>
      <c r="G304" s="123"/>
      <c r="H304" s="121"/>
      <c r="I304" s="121"/>
      <c r="J304" s="121"/>
      <c r="K304" s="121"/>
      <c r="L304" s="121"/>
      <c r="M304" s="121"/>
      <c r="N304" s="121"/>
      <c r="O304" s="121"/>
      <c r="P304" s="121"/>
      <c r="Q304" s="121"/>
      <c r="R304" s="121"/>
      <c r="S304" s="121"/>
      <c r="T304" s="121"/>
      <c r="U304" s="121"/>
      <c r="V304" s="121"/>
    </row>
  </sheetData>
  <mergeCells count="10">
    <mergeCell ref="P2:R2"/>
    <mergeCell ref="T2:V2"/>
    <mergeCell ref="T3:V3"/>
    <mergeCell ref="P3:R3"/>
    <mergeCell ref="B3:D3"/>
    <mergeCell ref="E3:G3"/>
    <mergeCell ref="B2:G2"/>
    <mergeCell ref="I2:N2"/>
    <mergeCell ref="I3:K3"/>
    <mergeCell ref="L3:N3"/>
  </mergeCells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18E2C-DA6A-497B-A1E3-AF149B587F3F}">
  <sheetPr codeName="Planilha7">
    <tabColor rgb="FFFFFF00"/>
  </sheetPr>
  <dimension ref="A1:AC39"/>
  <sheetViews>
    <sheetView zoomScaleNormal="100" workbookViewId="0">
      <selection activeCell="O7" sqref="O7"/>
    </sheetView>
  </sheetViews>
  <sheetFormatPr defaultColWidth="0" defaultRowHeight="14.4" zeroHeight="1" x14ac:dyDescent="0.3"/>
  <cols>
    <col min="1" max="27" width="9.109375" style="81" customWidth="1"/>
    <col min="28" max="28" width="9.109375" style="81" hidden="1" customWidth="1"/>
    <col min="29" max="29" width="8.88671875" style="81" hidden="1" customWidth="1"/>
    <col min="30" max="16384" width="9.109375" style="81" hidden="1"/>
  </cols>
  <sheetData>
    <row r="1" spans="1:27" ht="14.4" customHeight="1" x14ac:dyDescent="0.3"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spans="1:27" ht="14.4" customHeight="1" x14ac:dyDescent="0.3">
      <c r="A2" s="173" t="s">
        <v>167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173"/>
      <c r="U2" s="173"/>
      <c r="V2" s="173"/>
      <c r="W2" s="173"/>
      <c r="X2" s="173"/>
      <c r="Y2" s="173"/>
      <c r="Z2" s="173"/>
      <c r="AA2" s="173"/>
    </row>
    <row r="3" spans="1:27" ht="14.4" customHeight="1" x14ac:dyDescent="0.3">
      <c r="A3" s="173"/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  <c r="N3" s="173"/>
      <c r="O3" s="173"/>
      <c r="P3" s="173"/>
      <c r="Q3" s="173"/>
      <c r="R3" s="173"/>
      <c r="S3" s="173"/>
      <c r="T3" s="173"/>
      <c r="U3" s="173"/>
      <c r="V3" s="173"/>
      <c r="W3" s="173"/>
      <c r="X3" s="173"/>
      <c r="Y3" s="173"/>
      <c r="Z3" s="173"/>
      <c r="AA3" s="173"/>
    </row>
    <row r="4" spans="1:27" x14ac:dyDescent="0.3">
      <c r="A4" s="82"/>
      <c r="B4" s="83"/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  <c r="Q4" s="83"/>
      <c r="R4" s="83"/>
      <c r="S4" s="83"/>
      <c r="T4" s="83"/>
      <c r="U4" s="83"/>
      <c r="V4" s="83"/>
      <c r="W4" s="83"/>
      <c r="X4" s="83"/>
      <c r="Y4" s="83"/>
      <c r="Z4" s="83"/>
      <c r="AA4" s="84"/>
    </row>
    <row r="5" spans="1:27" x14ac:dyDescent="0.3">
      <c r="A5" s="82"/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  <c r="Q5" s="83"/>
      <c r="R5" s="83"/>
      <c r="S5" s="83"/>
      <c r="T5" s="83"/>
      <c r="U5" s="83"/>
      <c r="V5" s="83"/>
      <c r="W5" s="83"/>
      <c r="X5" s="83"/>
      <c r="Y5" s="83"/>
      <c r="Z5" s="83"/>
      <c r="AA5" s="84"/>
    </row>
    <row r="6" spans="1:27" x14ac:dyDescent="0.3">
      <c r="A6" s="82"/>
      <c r="B6" s="83"/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  <c r="Q6" s="83"/>
      <c r="R6" s="83"/>
      <c r="S6" s="83"/>
      <c r="T6" s="83"/>
      <c r="U6" s="83"/>
      <c r="V6" s="83"/>
      <c r="W6" s="83"/>
      <c r="X6" s="83"/>
      <c r="Y6" s="83"/>
      <c r="Z6" s="83"/>
      <c r="AA6" s="84"/>
    </row>
    <row r="7" spans="1:27" x14ac:dyDescent="0.3">
      <c r="A7" s="82"/>
      <c r="B7" s="83"/>
      <c r="C7" s="83"/>
      <c r="D7" s="83"/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  <c r="Q7" s="83"/>
      <c r="R7" s="83"/>
      <c r="S7" s="83"/>
      <c r="T7" s="83"/>
      <c r="U7" s="83"/>
      <c r="V7" s="83"/>
      <c r="W7" s="83"/>
      <c r="X7" s="83"/>
      <c r="Y7" s="83"/>
      <c r="Z7" s="83"/>
      <c r="AA7" s="84"/>
    </row>
    <row r="8" spans="1:27" x14ac:dyDescent="0.3">
      <c r="A8" s="82"/>
      <c r="B8" s="83"/>
      <c r="C8" s="8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  <c r="X8" s="83"/>
      <c r="Y8" s="83"/>
      <c r="Z8" s="83"/>
      <c r="AA8" s="84"/>
    </row>
    <row r="9" spans="1:27" x14ac:dyDescent="0.3">
      <c r="A9" s="82"/>
      <c r="B9" s="83"/>
      <c r="C9" s="83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  <c r="X9" s="83"/>
      <c r="Y9" s="83"/>
      <c r="Z9" s="83"/>
      <c r="AA9" s="84"/>
    </row>
    <row r="10" spans="1:27" x14ac:dyDescent="0.3">
      <c r="A10" s="82"/>
      <c r="B10" s="83"/>
      <c r="C10" s="83"/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3"/>
      <c r="Q10" s="83"/>
      <c r="R10" s="83"/>
      <c r="S10" s="83"/>
      <c r="T10" s="83"/>
      <c r="U10" s="83"/>
      <c r="V10" s="83"/>
      <c r="W10" s="83"/>
      <c r="X10" s="83"/>
      <c r="Y10" s="83"/>
      <c r="Z10" s="83"/>
      <c r="AA10" s="84"/>
    </row>
    <row r="11" spans="1:27" x14ac:dyDescent="0.3">
      <c r="A11" s="82"/>
      <c r="B11" s="83"/>
      <c r="C11" s="83"/>
      <c r="D11" s="83"/>
      <c r="E11" s="83"/>
      <c r="F11" s="83"/>
      <c r="G11" s="83"/>
      <c r="H11" s="83"/>
      <c r="I11" s="83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83"/>
      <c r="X11" s="83"/>
      <c r="Y11" s="83"/>
      <c r="Z11" s="83"/>
      <c r="AA11" s="84"/>
    </row>
    <row r="12" spans="1:27" x14ac:dyDescent="0.3">
      <c r="A12" s="82"/>
      <c r="B12" s="83"/>
      <c r="C12" s="83"/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3"/>
      <c r="U12" s="83"/>
      <c r="V12" s="83"/>
      <c r="W12" s="83"/>
      <c r="X12" s="83"/>
      <c r="Y12" s="83"/>
      <c r="Z12" s="83"/>
      <c r="AA12" s="84"/>
    </row>
    <row r="13" spans="1:27" x14ac:dyDescent="0.3">
      <c r="A13" s="82"/>
      <c r="B13" s="83"/>
      <c r="C13" s="83"/>
      <c r="D13" s="83"/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3"/>
      <c r="U13" s="83"/>
      <c r="V13" s="83"/>
      <c r="W13" s="83"/>
      <c r="X13" s="83"/>
      <c r="Y13" s="83"/>
      <c r="Z13" s="83"/>
      <c r="AA13" s="84"/>
    </row>
    <row r="14" spans="1:27" x14ac:dyDescent="0.3">
      <c r="A14" s="82"/>
      <c r="B14" s="83"/>
      <c r="C14" s="83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3"/>
      <c r="U14" s="83"/>
      <c r="V14" s="83"/>
      <c r="W14" s="83"/>
      <c r="X14" s="83"/>
      <c r="Y14" s="83"/>
      <c r="Z14" s="83"/>
      <c r="AA14" s="84"/>
    </row>
    <row r="15" spans="1:27" x14ac:dyDescent="0.3">
      <c r="A15" s="82"/>
      <c r="B15" s="83"/>
      <c r="C15" s="83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3"/>
      <c r="W15" s="83"/>
      <c r="X15" s="83"/>
      <c r="Y15" s="83"/>
      <c r="Z15" s="83"/>
      <c r="AA15" s="84"/>
    </row>
    <row r="16" spans="1:27" x14ac:dyDescent="0.3">
      <c r="A16" s="82"/>
      <c r="B16" s="83"/>
      <c r="C16" s="83"/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  <c r="X16" s="83"/>
      <c r="Y16" s="83"/>
      <c r="Z16" s="83"/>
      <c r="AA16" s="84"/>
    </row>
    <row r="17" spans="1:27" x14ac:dyDescent="0.3">
      <c r="A17" s="82"/>
      <c r="B17" s="83"/>
      <c r="C17" s="83"/>
      <c r="D17" s="83"/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83"/>
      <c r="W17" s="83"/>
      <c r="X17" s="83"/>
      <c r="Y17" s="83"/>
      <c r="Z17" s="83"/>
      <c r="AA17" s="84"/>
    </row>
    <row r="18" spans="1:27" x14ac:dyDescent="0.3">
      <c r="A18" s="82"/>
      <c r="B18" s="83"/>
      <c r="C18" s="83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83"/>
      <c r="W18" s="83"/>
      <c r="X18" s="83"/>
      <c r="Y18" s="83"/>
      <c r="Z18" s="83"/>
      <c r="AA18" s="84"/>
    </row>
    <row r="19" spans="1:27" x14ac:dyDescent="0.3">
      <c r="A19" s="82"/>
      <c r="B19" s="83"/>
      <c r="C19" s="83"/>
      <c r="D19" s="83"/>
      <c r="E19" s="83"/>
      <c r="F19" s="83"/>
      <c r="G19" s="83"/>
      <c r="H19" s="83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83"/>
      <c r="Y19" s="83"/>
      <c r="Z19" s="83"/>
      <c r="AA19" s="84"/>
    </row>
    <row r="20" spans="1:27" x14ac:dyDescent="0.3">
      <c r="A20" s="82"/>
      <c r="B20" s="83"/>
      <c r="C20" s="83"/>
      <c r="D20" s="83"/>
      <c r="E20" s="83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83"/>
      <c r="V20" s="83"/>
      <c r="W20" s="83"/>
      <c r="X20" s="83"/>
      <c r="Y20" s="83"/>
      <c r="Z20" s="83"/>
      <c r="AA20" s="84"/>
    </row>
    <row r="21" spans="1:27" x14ac:dyDescent="0.3">
      <c r="A21" s="82"/>
      <c r="B21" s="83"/>
      <c r="C21" s="83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4"/>
    </row>
    <row r="22" spans="1:27" x14ac:dyDescent="0.3">
      <c r="A22" s="82"/>
      <c r="B22" s="83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3"/>
      <c r="X22" s="83"/>
      <c r="Y22" s="83"/>
      <c r="Z22" s="83"/>
      <c r="AA22" s="84"/>
    </row>
    <row r="23" spans="1:27" x14ac:dyDescent="0.3">
      <c r="A23" s="82"/>
      <c r="B23" s="83"/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3"/>
      <c r="V23" s="83"/>
      <c r="W23" s="83"/>
      <c r="X23" s="83"/>
      <c r="Y23" s="83"/>
      <c r="Z23" s="83"/>
      <c r="AA23" s="84"/>
    </row>
    <row r="24" spans="1:27" x14ac:dyDescent="0.3">
      <c r="A24" s="82"/>
      <c r="B24" s="83"/>
      <c r="C24" s="83"/>
      <c r="D24" s="83"/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3"/>
      <c r="W24" s="83"/>
      <c r="X24" s="83"/>
      <c r="Y24" s="83"/>
      <c r="Z24" s="83"/>
      <c r="AA24" s="84"/>
    </row>
    <row r="25" spans="1:27" x14ac:dyDescent="0.3">
      <c r="A25" s="82"/>
      <c r="B25" s="83"/>
      <c r="C25" s="83"/>
      <c r="D25" s="83"/>
      <c r="E25" s="83"/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3"/>
      <c r="X25" s="83"/>
      <c r="Y25" s="83"/>
      <c r="Z25" s="83"/>
      <c r="AA25" s="84"/>
    </row>
    <row r="26" spans="1:27" x14ac:dyDescent="0.3">
      <c r="A26" s="82"/>
      <c r="B26" s="83"/>
      <c r="C26" s="83"/>
      <c r="D26" s="83"/>
      <c r="E26" s="83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3"/>
      <c r="Q26" s="83"/>
      <c r="R26" s="83"/>
      <c r="S26" s="83"/>
      <c r="T26" s="83"/>
      <c r="U26" s="83"/>
      <c r="V26" s="83"/>
      <c r="W26" s="83"/>
      <c r="X26" s="83"/>
      <c r="Y26" s="83"/>
      <c r="Z26" s="83"/>
      <c r="AA26" s="84"/>
    </row>
    <row r="27" spans="1:27" x14ac:dyDescent="0.3">
      <c r="A27" s="82"/>
      <c r="B27" s="83"/>
      <c r="C27" s="83"/>
      <c r="D27" s="83"/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4"/>
    </row>
    <row r="28" spans="1:27" x14ac:dyDescent="0.3">
      <c r="A28" s="82"/>
      <c r="B28" s="83"/>
      <c r="C28" s="83"/>
      <c r="D28" s="83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4"/>
    </row>
    <row r="29" spans="1:27" x14ac:dyDescent="0.3">
      <c r="A29" s="82"/>
      <c r="B29" s="83"/>
      <c r="C29" s="83"/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4"/>
    </row>
    <row r="30" spans="1:27" x14ac:dyDescent="0.3">
      <c r="A30" s="82"/>
      <c r="B30" s="83"/>
      <c r="C30" s="83"/>
      <c r="D30" s="83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4"/>
    </row>
    <row r="31" spans="1:27" x14ac:dyDescent="0.3">
      <c r="A31" s="82"/>
      <c r="B31" s="83"/>
      <c r="C31" s="83"/>
      <c r="D31" s="83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4"/>
    </row>
    <row r="32" spans="1:27" x14ac:dyDescent="0.3">
      <c r="A32" s="82"/>
      <c r="B32" s="83"/>
      <c r="C32" s="83"/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4"/>
    </row>
    <row r="33" spans="1:27" x14ac:dyDescent="0.3">
      <c r="A33" s="82"/>
      <c r="B33" s="83"/>
      <c r="C33" s="83"/>
      <c r="D33" s="83"/>
      <c r="E33" s="83"/>
      <c r="F33" s="83"/>
      <c r="G33" s="83"/>
      <c r="H33" s="83"/>
      <c r="I33" s="83"/>
      <c r="J33" s="83"/>
      <c r="K33" s="83"/>
      <c r="L33" s="83"/>
      <c r="M33" s="83"/>
      <c r="N33" s="83"/>
      <c r="O33" s="83"/>
      <c r="P33" s="83"/>
      <c r="Q33" s="83"/>
      <c r="R33" s="83"/>
      <c r="S33" s="83"/>
      <c r="T33" s="83"/>
      <c r="U33" s="83"/>
      <c r="V33" s="83"/>
      <c r="W33" s="83"/>
      <c r="X33" s="83"/>
      <c r="Y33" s="83"/>
      <c r="Z33" s="83"/>
      <c r="AA33" s="84"/>
    </row>
    <row r="34" spans="1:27" x14ac:dyDescent="0.3">
      <c r="A34" s="82"/>
      <c r="B34" s="83"/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  <c r="X34" s="83"/>
      <c r="Y34" s="83"/>
      <c r="Z34" s="83"/>
      <c r="AA34" s="84"/>
    </row>
    <row r="35" spans="1:27" x14ac:dyDescent="0.3">
      <c r="A35" s="82"/>
      <c r="B35" s="83"/>
      <c r="C35" s="83"/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3"/>
      <c r="X35" s="83"/>
      <c r="Y35" s="83"/>
      <c r="Z35" s="83"/>
      <c r="AA35" s="84"/>
    </row>
    <row r="36" spans="1:27" x14ac:dyDescent="0.3">
      <c r="A36" s="82"/>
      <c r="B36" s="83"/>
      <c r="C36" s="83"/>
      <c r="D36" s="83"/>
      <c r="E36" s="83"/>
      <c r="F36" s="83"/>
      <c r="G36" s="83"/>
      <c r="H36" s="83"/>
      <c r="I36" s="83"/>
      <c r="J36" s="83"/>
      <c r="K36" s="83"/>
      <c r="L36" s="83"/>
      <c r="M36" s="83"/>
      <c r="N36" s="83"/>
      <c r="O36" s="83"/>
      <c r="P36" s="83"/>
      <c r="Q36" s="83"/>
      <c r="R36" s="83"/>
      <c r="S36" s="83"/>
      <c r="T36" s="83"/>
      <c r="U36" s="83"/>
      <c r="V36" s="83"/>
      <c r="W36" s="83"/>
      <c r="X36" s="83"/>
      <c r="Y36" s="83"/>
      <c r="Z36" s="83"/>
      <c r="AA36" s="84"/>
    </row>
    <row r="37" spans="1:27" x14ac:dyDescent="0.3">
      <c r="A37" s="82"/>
      <c r="B37" s="83"/>
      <c r="C37" s="83"/>
      <c r="D37" s="83"/>
      <c r="E37" s="83"/>
      <c r="F37" s="83"/>
      <c r="G37" s="83"/>
      <c r="H37" s="83"/>
      <c r="I37" s="83"/>
      <c r="J37" s="83"/>
      <c r="K37" s="83"/>
      <c r="L37" s="83"/>
      <c r="M37" s="83"/>
      <c r="N37" s="83"/>
      <c r="O37" s="83"/>
      <c r="P37" s="83"/>
      <c r="Q37" s="83"/>
      <c r="R37" s="83"/>
      <c r="S37" s="83"/>
      <c r="T37" s="83"/>
      <c r="U37" s="83"/>
      <c r="V37" s="83"/>
      <c r="W37" s="83"/>
      <c r="X37" s="83"/>
      <c r="Y37" s="83"/>
      <c r="Z37" s="83"/>
      <c r="AA37" s="84"/>
    </row>
    <row r="38" spans="1:27" x14ac:dyDescent="0.3">
      <c r="A38" s="82"/>
      <c r="B38" s="83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3"/>
      <c r="P38" s="83"/>
      <c r="Q38" s="83"/>
      <c r="R38" s="83"/>
      <c r="S38" s="83"/>
      <c r="T38" s="83"/>
      <c r="U38" s="83"/>
      <c r="V38" s="83"/>
      <c r="W38" s="83"/>
      <c r="X38" s="83"/>
      <c r="Y38" s="83"/>
      <c r="Z38" s="83"/>
      <c r="AA38" s="84"/>
    </row>
    <row r="39" spans="1:27" x14ac:dyDescent="0.3">
      <c r="A39" s="85"/>
      <c r="B39" s="86"/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  <c r="X39" s="86"/>
      <c r="Y39" s="86"/>
      <c r="Z39" s="86"/>
      <c r="AA39" s="87"/>
    </row>
  </sheetData>
  <mergeCells count="1">
    <mergeCell ref="A2:AA3"/>
  </mergeCell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3BD65-6E71-4090-A9F9-3576B375A339}">
  <sheetPr codeName="Planilha5"/>
  <dimension ref="A1:DW116"/>
  <sheetViews>
    <sheetView topLeftCell="A63" zoomScale="85" zoomScaleNormal="85" workbookViewId="0">
      <selection activeCell="S57" sqref="S57"/>
    </sheetView>
  </sheetViews>
  <sheetFormatPr defaultColWidth="0" defaultRowHeight="14.4" zeroHeight="1" x14ac:dyDescent="0.3"/>
  <cols>
    <col min="1" max="1" width="8.33203125" style="39" bestFit="1" customWidth="1"/>
    <col min="2" max="2" width="15.44140625" style="39" customWidth="1"/>
    <col min="3" max="3" width="16.5546875" style="39" customWidth="1"/>
    <col min="4" max="4" width="14.88671875" style="39" customWidth="1"/>
    <col min="5" max="5" width="9.109375" style="39" customWidth="1"/>
    <col min="6" max="6" width="9.6640625" style="39" customWidth="1"/>
    <col min="7" max="7" width="11.109375" style="39" bestFit="1" customWidth="1"/>
    <col min="8" max="120" width="9.109375" style="39" customWidth="1"/>
    <col min="121" max="127" width="0" style="39" hidden="1" customWidth="1"/>
    <col min="128" max="16384" width="9.109375" style="39" hidden="1"/>
  </cols>
  <sheetData>
    <row r="1" spans="1:120" x14ac:dyDescent="0.3">
      <c r="A1" s="44"/>
      <c r="B1" s="45"/>
      <c r="C1" s="45"/>
      <c r="D1" s="45"/>
      <c r="E1" s="45"/>
      <c r="F1" s="46" t="s">
        <v>136</v>
      </c>
      <c r="G1" s="20" t="s">
        <v>0</v>
      </c>
      <c r="H1" s="17">
        <v>1</v>
      </c>
      <c r="I1" s="17">
        <v>2</v>
      </c>
      <c r="J1" s="17">
        <v>3</v>
      </c>
      <c r="K1" s="17">
        <v>4</v>
      </c>
      <c r="L1" s="17">
        <v>5</v>
      </c>
      <c r="M1" s="17">
        <v>6</v>
      </c>
      <c r="N1" s="17">
        <v>7</v>
      </c>
      <c r="O1" s="17">
        <v>8</v>
      </c>
      <c r="P1" s="17">
        <v>9</v>
      </c>
      <c r="Q1" s="17">
        <v>10</v>
      </c>
      <c r="R1" s="17">
        <v>11</v>
      </c>
      <c r="S1" s="17">
        <v>12</v>
      </c>
      <c r="T1" s="17">
        <v>13</v>
      </c>
      <c r="U1" s="17">
        <v>14</v>
      </c>
      <c r="V1" s="17">
        <v>15</v>
      </c>
      <c r="W1" s="17">
        <v>16</v>
      </c>
      <c r="X1" s="17">
        <v>17</v>
      </c>
      <c r="Y1" s="17">
        <v>18</v>
      </c>
      <c r="Z1" s="17">
        <v>19</v>
      </c>
      <c r="AA1" s="17">
        <v>20</v>
      </c>
      <c r="AB1" s="17">
        <v>21</v>
      </c>
      <c r="AC1" s="17">
        <v>22</v>
      </c>
      <c r="AD1" s="17">
        <v>23</v>
      </c>
      <c r="AE1" s="17">
        <v>24</v>
      </c>
      <c r="AF1" s="17">
        <v>25</v>
      </c>
      <c r="AG1" s="17">
        <v>26</v>
      </c>
      <c r="AH1" s="17">
        <v>27</v>
      </c>
      <c r="AI1" s="17">
        <v>28</v>
      </c>
      <c r="AJ1" s="17">
        <v>29</v>
      </c>
      <c r="AK1" s="17">
        <v>30</v>
      </c>
      <c r="AL1" s="17">
        <v>31</v>
      </c>
      <c r="AM1" s="17">
        <v>32</v>
      </c>
      <c r="AN1" s="17">
        <v>33</v>
      </c>
      <c r="AO1" s="17">
        <v>34</v>
      </c>
      <c r="AP1" s="17">
        <v>35</v>
      </c>
      <c r="AQ1" s="17">
        <v>36</v>
      </c>
      <c r="AR1" s="17">
        <v>37</v>
      </c>
      <c r="AS1" s="17">
        <v>38</v>
      </c>
      <c r="AT1" s="17">
        <v>39</v>
      </c>
      <c r="AU1" s="17">
        <v>40</v>
      </c>
      <c r="AV1" s="17">
        <v>41</v>
      </c>
      <c r="AW1" s="17">
        <v>42</v>
      </c>
      <c r="AX1" s="17">
        <v>43</v>
      </c>
      <c r="AY1" s="17">
        <v>44</v>
      </c>
      <c r="AZ1" s="17">
        <v>45</v>
      </c>
      <c r="BA1" s="17">
        <v>46</v>
      </c>
      <c r="BB1" s="17">
        <v>47</v>
      </c>
      <c r="BC1" s="17">
        <v>48</v>
      </c>
      <c r="BD1" s="17">
        <v>49</v>
      </c>
      <c r="BE1" s="17">
        <v>50</v>
      </c>
      <c r="BF1" s="17">
        <v>51</v>
      </c>
      <c r="BG1" s="17">
        <v>52</v>
      </c>
      <c r="BH1" s="17">
        <v>53</v>
      </c>
      <c r="BI1" s="17">
        <v>54</v>
      </c>
      <c r="BJ1" s="17">
        <v>55</v>
      </c>
      <c r="BK1" s="17">
        <v>56</v>
      </c>
      <c r="BL1" s="17">
        <v>57</v>
      </c>
      <c r="BM1" s="17">
        <v>58</v>
      </c>
      <c r="BN1" s="17">
        <v>59</v>
      </c>
      <c r="BO1" s="17">
        <v>60</v>
      </c>
      <c r="BP1" s="17">
        <v>61</v>
      </c>
      <c r="BQ1" s="17">
        <v>62</v>
      </c>
      <c r="BR1" s="17">
        <v>63</v>
      </c>
      <c r="BS1" s="17">
        <v>64</v>
      </c>
      <c r="BT1" s="17">
        <v>65</v>
      </c>
      <c r="BU1" s="17">
        <v>66</v>
      </c>
      <c r="BV1" s="17">
        <v>67</v>
      </c>
      <c r="BW1" s="17">
        <v>68</v>
      </c>
      <c r="BX1" s="17">
        <v>69</v>
      </c>
      <c r="BY1" s="17">
        <v>70</v>
      </c>
      <c r="BZ1" s="17">
        <v>71</v>
      </c>
      <c r="CA1" s="17">
        <v>72</v>
      </c>
      <c r="CB1" s="17">
        <v>73</v>
      </c>
      <c r="CC1" s="17">
        <v>74</v>
      </c>
      <c r="CD1" s="17">
        <v>75</v>
      </c>
      <c r="CE1" s="17">
        <v>76</v>
      </c>
      <c r="CF1" s="17">
        <v>77</v>
      </c>
      <c r="CG1" s="17">
        <v>78</v>
      </c>
      <c r="CH1" s="17">
        <v>79</v>
      </c>
      <c r="CI1" s="17">
        <v>80</v>
      </c>
      <c r="CJ1" s="17">
        <v>81</v>
      </c>
      <c r="CK1" s="17">
        <v>82</v>
      </c>
      <c r="CL1" s="17">
        <v>83</v>
      </c>
      <c r="CM1" s="17">
        <v>84</v>
      </c>
      <c r="CN1" s="17">
        <v>85</v>
      </c>
      <c r="CO1" s="17">
        <v>86</v>
      </c>
      <c r="CP1" s="17">
        <v>87</v>
      </c>
      <c r="CQ1" s="17">
        <v>88</v>
      </c>
      <c r="CR1" s="17">
        <v>89</v>
      </c>
      <c r="CS1" s="17">
        <v>90</v>
      </c>
      <c r="CT1" s="17">
        <v>91</v>
      </c>
      <c r="CU1" s="17">
        <v>92</v>
      </c>
      <c r="CV1" s="17">
        <v>93</v>
      </c>
      <c r="CW1" s="17">
        <v>94</v>
      </c>
      <c r="CX1" s="17">
        <v>95</v>
      </c>
      <c r="CY1" s="17">
        <v>96</v>
      </c>
      <c r="CZ1" s="17">
        <v>97</v>
      </c>
      <c r="DA1" s="17">
        <v>98</v>
      </c>
      <c r="DB1" s="17">
        <v>99</v>
      </c>
      <c r="DC1" s="17">
        <v>100</v>
      </c>
      <c r="DD1" s="17">
        <v>101</v>
      </c>
      <c r="DE1" s="17">
        <v>102</v>
      </c>
      <c r="DF1" s="17">
        <v>103</v>
      </c>
      <c r="DG1" s="17">
        <v>104</v>
      </c>
      <c r="DH1" s="17">
        <v>105</v>
      </c>
      <c r="DI1" s="17">
        <v>106</v>
      </c>
      <c r="DJ1" s="17">
        <v>107</v>
      </c>
      <c r="DK1" s="17">
        <v>108</v>
      </c>
      <c r="DL1" s="17">
        <v>109</v>
      </c>
      <c r="DM1" s="17">
        <v>110</v>
      </c>
      <c r="DN1" s="17">
        <v>111</v>
      </c>
      <c r="DO1" s="17">
        <v>112</v>
      </c>
      <c r="DP1" s="18">
        <v>113</v>
      </c>
    </row>
    <row r="2" spans="1:120" ht="15.6" x14ac:dyDescent="0.3">
      <c r="A2" s="47" t="s">
        <v>137</v>
      </c>
      <c r="B2" s="48"/>
      <c r="C2" s="48"/>
      <c r="D2" s="48"/>
      <c r="E2" s="48"/>
      <c r="F2" s="48"/>
      <c r="G2" s="51" t="s">
        <v>1</v>
      </c>
      <c r="H2" s="11" t="s">
        <v>4</v>
      </c>
      <c r="I2" s="11" t="s">
        <v>5</v>
      </c>
      <c r="J2" s="11" t="s">
        <v>6</v>
      </c>
      <c r="K2" s="11" t="s">
        <v>7</v>
      </c>
      <c r="L2" s="11" t="s">
        <v>8</v>
      </c>
      <c r="M2" s="11" t="s">
        <v>10</v>
      </c>
      <c r="N2" s="11" t="s">
        <v>11</v>
      </c>
      <c r="O2" s="11" t="s">
        <v>12</v>
      </c>
      <c r="P2" s="11" t="s">
        <v>13</v>
      </c>
      <c r="Q2" s="11" t="s">
        <v>14</v>
      </c>
      <c r="R2" s="11" t="s">
        <v>15</v>
      </c>
      <c r="S2" s="11" t="s">
        <v>16</v>
      </c>
      <c r="T2" s="11" t="s">
        <v>17</v>
      </c>
      <c r="U2" s="11" t="s">
        <v>18</v>
      </c>
      <c r="V2" s="11" t="s">
        <v>19</v>
      </c>
      <c r="W2" s="11" t="s">
        <v>20</v>
      </c>
      <c r="X2" s="11" t="s">
        <v>21</v>
      </c>
      <c r="Y2" s="11" t="s">
        <v>22</v>
      </c>
      <c r="Z2" s="11" t="s">
        <v>23</v>
      </c>
      <c r="AA2" s="11" t="s">
        <v>24</v>
      </c>
      <c r="AB2" s="11" t="s">
        <v>25</v>
      </c>
      <c r="AC2" s="11" t="s">
        <v>26</v>
      </c>
      <c r="AD2" s="11" t="s">
        <v>28</v>
      </c>
      <c r="AE2" s="11" t="s">
        <v>29</v>
      </c>
      <c r="AF2" s="11" t="s">
        <v>30</v>
      </c>
      <c r="AG2" s="11" t="s">
        <v>24</v>
      </c>
      <c r="AH2" s="11" t="s">
        <v>31</v>
      </c>
      <c r="AI2" s="11" t="s">
        <v>32</v>
      </c>
      <c r="AJ2" s="11" t="s">
        <v>33</v>
      </c>
      <c r="AK2" s="11" t="s">
        <v>34</v>
      </c>
      <c r="AL2" s="11" t="s">
        <v>37</v>
      </c>
      <c r="AM2" s="11" t="s">
        <v>38</v>
      </c>
      <c r="AN2" s="11" t="s">
        <v>39</v>
      </c>
      <c r="AO2" s="11" t="s">
        <v>40</v>
      </c>
      <c r="AP2" s="11" t="s">
        <v>41</v>
      </c>
      <c r="AQ2" s="11" t="s">
        <v>43</v>
      </c>
      <c r="AR2" s="11" t="s">
        <v>44</v>
      </c>
      <c r="AS2" s="11" t="s">
        <v>45</v>
      </c>
      <c r="AT2" s="11" t="s">
        <v>46</v>
      </c>
      <c r="AU2" s="11" t="s">
        <v>49</v>
      </c>
      <c r="AV2" s="11" t="s">
        <v>50</v>
      </c>
      <c r="AW2" s="11" t="s">
        <v>51</v>
      </c>
      <c r="AX2" s="11" t="s">
        <v>52</v>
      </c>
      <c r="AY2" s="11" t="s">
        <v>54</v>
      </c>
      <c r="AZ2" s="11" t="s">
        <v>55</v>
      </c>
      <c r="BA2" s="11" t="s">
        <v>53</v>
      </c>
      <c r="BB2" s="11" t="s">
        <v>57</v>
      </c>
      <c r="BC2" s="11" t="s">
        <v>58</v>
      </c>
      <c r="BD2" s="11" t="s">
        <v>56</v>
      </c>
      <c r="BE2" s="11" t="s">
        <v>60</v>
      </c>
      <c r="BF2" s="11" t="s">
        <v>59</v>
      </c>
      <c r="BG2" s="11" t="s">
        <v>61</v>
      </c>
      <c r="BH2" s="11" t="s">
        <v>62</v>
      </c>
      <c r="BI2" s="11" t="s">
        <v>64</v>
      </c>
      <c r="BJ2" s="11" t="s">
        <v>65</v>
      </c>
      <c r="BK2" s="11" t="s">
        <v>66</v>
      </c>
      <c r="BL2" s="11" t="s">
        <v>67</v>
      </c>
      <c r="BM2" s="11" t="s">
        <v>68</v>
      </c>
      <c r="BN2" s="11" t="s">
        <v>69</v>
      </c>
      <c r="BO2" s="11" t="s">
        <v>70</v>
      </c>
      <c r="BP2" s="11" t="s">
        <v>72</v>
      </c>
      <c r="BQ2" s="11" t="s">
        <v>73</v>
      </c>
      <c r="BR2" s="11" t="s">
        <v>74</v>
      </c>
      <c r="BS2" s="11" t="s">
        <v>75</v>
      </c>
      <c r="BT2" s="11" t="s">
        <v>80</v>
      </c>
      <c r="BU2" s="11" t="s">
        <v>81</v>
      </c>
      <c r="BV2" s="11" t="s">
        <v>76</v>
      </c>
      <c r="BW2" s="11" t="s">
        <v>77</v>
      </c>
      <c r="BX2" s="11" t="s">
        <v>79</v>
      </c>
      <c r="BY2" s="11" t="s">
        <v>82</v>
      </c>
      <c r="BZ2" s="11" t="s">
        <v>83</v>
      </c>
      <c r="CA2" s="11" t="s">
        <v>85</v>
      </c>
      <c r="CB2" s="11" t="s">
        <v>86</v>
      </c>
      <c r="CC2" s="11" t="s">
        <v>87</v>
      </c>
      <c r="CD2" s="11" t="s">
        <v>88</v>
      </c>
      <c r="CE2" s="11" t="s">
        <v>89</v>
      </c>
      <c r="CF2" s="11" t="s">
        <v>90</v>
      </c>
      <c r="CG2" s="11" t="s">
        <v>94</v>
      </c>
      <c r="CH2" s="11" t="s">
        <v>91</v>
      </c>
      <c r="CI2" s="11" t="s">
        <v>92</v>
      </c>
      <c r="CJ2" s="11" t="s">
        <v>93</v>
      </c>
      <c r="CK2" s="11" t="s">
        <v>96</v>
      </c>
      <c r="CL2" s="11" t="s">
        <v>97</v>
      </c>
      <c r="CM2" s="11" t="s">
        <v>95</v>
      </c>
      <c r="CN2" s="11" t="s">
        <v>98</v>
      </c>
      <c r="CO2" s="11" t="s">
        <v>99</v>
      </c>
      <c r="CP2" s="11" t="s">
        <v>101</v>
      </c>
      <c r="CQ2" s="11" t="s">
        <v>102</v>
      </c>
      <c r="CR2" s="11" t="s">
        <v>103</v>
      </c>
      <c r="CS2" s="11" t="s">
        <v>104</v>
      </c>
      <c r="CT2" s="11" t="s">
        <v>105</v>
      </c>
      <c r="CU2" s="11" t="s">
        <v>106</v>
      </c>
      <c r="CV2" s="11" t="s">
        <v>107</v>
      </c>
      <c r="CW2" s="11" t="s">
        <v>109</v>
      </c>
      <c r="CX2" s="11" t="s">
        <v>111</v>
      </c>
      <c r="CY2" s="11" t="s">
        <v>110</v>
      </c>
      <c r="CZ2" s="11" t="s">
        <v>112</v>
      </c>
      <c r="DA2" s="11" t="s">
        <v>113</v>
      </c>
      <c r="DB2" s="11" t="s">
        <v>114</v>
      </c>
      <c r="DC2" s="11" t="s">
        <v>116</v>
      </c>
      <c r="DD2" s="11" t="s">
        <v>117</v>
      </c>
      <c r="DE2" s="11" t="s">
        <v>118</v>
      </c>
      <c r="DF2" s="11" t="s">
        <v>119</v>
      </c>
      <c r="DG2" s="11" t="s">
        <v>120</v>
      </c>
      <c r="DH2" s="11" t="s">
        <v>121</v>
      </c>
      <c r="DI2" s="11" t="s">
        <v>124</v>
      </c>
      <c r="DJ2" s="11" t="s">
        <v>125</v>
      </c>
      <c r="DK2" s="11" t="s">
        <v>126</v>
      </c>
      <c r="DL2" s="11" t="s">
        <v>127</v>
      </c>
      <c r="DM2" s="11" t="s">
        <v>129</v>
      </c>
      <c r="DN2" s="11" t="s">
        <v>130</v>
      </c>
      <c r="DO2" s="11" t="s">
        <v>133</v>
      </c>
      <c r="DP2" s="14" t="s">
        <v>131</v>
      </c>
    </row>
    <row r="3" spans="1:120" x14ac:dyDescent="0.3">
      <c r="A3" s="49" t="s">
        <v>0</v>
      </c>
      <c r="B3" s="50" t="s">
        <v>1</v>
      </c>
      <c r="C3" s="50" t="s">
        <v>3</v>
      </c>
      <c r="D3" s="50" t="s">
        <v>2</v>
      </c>
      <c r="E3" s="50" t="s">
        <v>134</v>
      </c>
      <c r="F3" s="50" t="s">
        <v>135</v>
      </c>
      <c r="G3" s="52" t="s">
        <v>140</v>
      </c>
      <c r="H3" s="54"/>
      <c r="I3" s="55" t="s">
        <v>138</v>
      </c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  <c r="DO3" s="54"/>
      <c r="DP3" s="56"/>
    </row>
    <row r="4" spans="1:120" ht="15.6" x14ac:dyDescent="0.3">
      <c r="A4" s="10">
        <v>1</v>
      </c>
      <c r="B4" s="11" t="s">
        <v>4</v>
      </c>
      <c r="C4" s="11">
        <v>1</v>
      </c>
      <c r="D4" s="11" t="s">
        <v>5</v>
      </c>
      <c r="E4" s="11">
        <v>0.90110000000000001</v>
      </c>
      <c r="F4" s="11">
        <v>0.84799999999999998</v>
      </c>
      <c r="G4" s="40"/>
      <c r="H4" s="59">
        <v>0</v>
      </c>
      <c r="I4" s="57">
        <v>86.02</v>
      </c>
      <c r="J4" s="57">
        <v>61.13</v>
      </c>
      <c r="K4" s="57">
        <v>76.5</v>
      </c>
      <c r="L4" s="57">
        <v>986.5</v>
      </c>
      <c r="M4" s="57">
        <v>697.2</v>
      </c>
      <c r="N4" s="57">
        <v>1318</v>
      </c>
      <c r="O4" s="57">
        <v>1333</v>
      </c>
      <c r="P4" s="57">
        <v>476.4</v>
      </c>
      <c r="Q4" s="57">
        <v>677</v>
      </c>
      <c r="R4" s="57">
        <v>232.1</v>
      </c>
      <c r="S4" s="57">
        <v>507</v>
      </c>
      <c r="T4" s="57">
        <v>251.5</v>
      </c>
      <c r="U4" s="57">
        <v>391.5</v>
      </c>
      <c r="V4" s="57">
        <v>255.7</v>
      </c>
      <c r="W4" s="57">
        <v>206.6</v>
      </c>
      <c r="X4" s="57">
        <v>920.7</v>
      </c>
      <c r="Y4" s="57">
        <v>287.77</v>
      </c>
      <c r="Z4" s="57">
        <v>597</v>
      </c>
      <c r="AA4" s="57">
        <v>663.5</v>
      </c>
      <c r="AB4" s="57">
        <v>35.93</v>
      </c>
      <c r="AC4" s="57">
        <v>53.76</v>
      </c>
      <c r="AD4" s="57">
        <v>24.9</v>
      </c>
      <c r="AE4" s="57">
        <v>104.3</v>
      </c>
      <c r="AF4" s="57">
        <v>11.44</v>
      </c>
      <c r="AG4" s="57">
        <v>661.5</v>
      </c>
      <c r="AH4" s="57">
        <v>543</v>
      </c>
      <c r="AI4" s="57">
        <v>153.6</v>
      </c>
      <c r="AJ4" s="57">
        <v>184.4</v>
      </c>
      <c r="AK4" s="57">
        <v>354.55</v>
      </c>
      <c r="AL4" s="57">
        <v>3025</v>
      </c>
      <c r="AM4" s="57">
        <v>335.8</v>
      </c>
      <c r="AN4" s="57">
        <v>479.5</v>
      </c>
      <c r="AO4" s="57">
        <v>298.89999999999998</v>
      </c>
      <c r="AP4" s="57">
        <v>526.5</v>
      </c>
      <c r="AQ4" s="57">
        <v>689</v>
      </c>
      <c r="AR4" s="57">
        <v>-4.1890000000000001</v>
      </c>
      <c r="AS4" s="57">
        <v>125.8</v>
      </c>
      <c r="AT4" s="57">
        <v>485.3</v>
      </c>
      <c r="AU4" s="57">
        <v>-2.859</v>
      </c>
      <c r="AV4" s="57">
        <v>387.1</v>
      </c>
      <c r="AW4" s="57">
        <v>-450.4</v>
      </c>
      <c r="AX4" s="57">
        <v>252.7</v>
      </c>
      <c r="AY4" s="57">
        <v>220.3</v>
      </c>
      <c r="AZ4" s="57">
        <v>-5.8689999999999998</v>
      </c>
      <c r="BA4" s="57">
        <v>390.9</v>
      </c>
      <c r="BB4" s="57">
        <v>553.29999999999995</v>
      </c>
      <c r="BC4" s="57">
        <v>187</v>
      </c>
      <c r="BD4" s="57">
        <v>216.1</v>
      </c>
      <c r="BE4" s="57">
        <v>92.99</v>
      </c>
      <c r="BF4" s="57">
        <v>699.13</v>
      </c>
      <c r="BG4" s="57"/>
      <c r="BH4" s="57"/>
      <c r="BI4" s="57"/>
      <c r="BJ4" s="57">
        <v>808.59</v>
      </c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7"/>
      <c r="CL4" s="57"/>
      <c r="CM4" s="57">
        <v>-1243</v>
      </c>
      <c r="CN4" s="57">
        <v>637.65</v>
      </c>
      <c r="CO4" s="57"/>
      <c r="CP4" s="57"/>
      <c r="CQ4" s="57"/>
      <c r="CR4" s="57"/>
      <c r="CS4" s="57"/>
      <c r="CT4" s="57"/>
      <c r="CU4" s="57"/>
      <c r="CV4" s="57"/>
      <c r="CW4" s="57"/>
      <c r="CX4" s="57"/>
      <c r="CY4" s="57"/>
      <c r="CZ4" s="57"/>
      <c r="DA4" s="57"/>
      <c r="DB4" s="57"/>
      <c r="DC4" s="57"/>
      <c r="DD4" s="57"/>
      <c r="DE4" s="57"/>
      <c r="DF4" s="57"/>
      <c r="DG4" s="57"/>
      <c r="DH4" s="57"/>
      <c r="DI4" s="57"/>
      <c r="DJ4" s="57"/>
      <c r="DK4" s="57"/>
      <c r="DL4" s="57"/>
      <c r="DM4" s="57"/>
      <c r="DN4" s="57"/>
      <c r="DO4" s="57"/>
      <c r="DP4" s="58"/>
    </row>
    <row r="5" spans="1:120" ht="15.6" x14ac:dyDescent="0.3">
      <c r="A5" s="10">
        <v>2</v>
      </c>
      <c r="B5" s="11" t="s">
        <v>5</v>
      </c>
      <c r="C5" s="11">
        <v>1</v>
      </c>
      <c r="D5" s="11" t="s">
        <v>5</v>
      </c>
      <c r="E5" s="11">
        <v>0.6744</v>
      </c>
      <c r="F5" s="11">
        <v>0.54</v>
      </c>
      <c r="G5" s="53" t="s">
        <v>139</v>
      </c>
      <c r="H5" s="41">
        <v>-35.36</v>
      </c>
      <c r="I5" s="59">
        <v>0</v>
      </c>
      <c r="J5" s="57">
        <v>38.81</v>
      </c>
      <c r="K5" s="57">
        <v>74.150000000000006</v>
      </c>
      <c r="L5" s="57">
        <v>524.1</v>
      </c>
      <c r="M5" s="57">
        <v>787.6</v>
      </c>
      <c r="N5" s="57">
        <v>270.60000000000002</v>
      </c>
      <c r="O5" s="57">
        <v>526.1</v>
      </c>
      <c r="P5" s="57">
        <v>182.6</v>
      </c>
      <c r="Q5" s="57">
        <v>448.75</v>
      </c>
      <c r="R5" s="57">
        <v>37.85</v>
      </c>
      <c r="S5" s="57">
        <v>333.5</v>
      </c>
      <c r="T5" s="57">
        <v>214.5</v>
      </c>
      <c r="U5" s="57">
        <v>240.9</v>
      </c>
      <c r="V5" s="57">
        <v>163.9</v>
      </c>
      <c r="W5" s="57">
        <v>61.11</v>
      </c>
      <c r="X5" s="57">
        <v>749.3</v>
      </c>
      <c r="Y5" s="57">
        <v>280.5</v>
      </c>
      <c r="Z5" s="57">
        <v>336.9</v>
      </c>
      <c r="AA5" s="57">
        <v>318.89999999999998</v>
      </c>
      <c r="AB5" s="57">
        <v>-36.869999999999997</v>
      </c>
      <c r="AC5" s="57">
        <v>58.55</v>
      </c>
      <c r="AD5" s="57">
        <v>-13.99</v>
      </c>
      <c r="AE5" s="57">
        <v>-109.7</v>
      </c>
      <c r="AF5" s="57">
        <v>100.1</v>
      </c>
      <c r="AG5" s="57">
        <v>357.5</v>
      </c>
      <c r="AH5" s="57"/>
      <c r="AI5" s="57">
        <v>76.3</v>
      </c>
      <c r="AJ5" s="57"/>
      <c r="AK5" s="57">
        <v>262.89999999999998</v>
      </c>
      <c r="AL5" s="57"/>
      <c r="AM5" s="57"/>
      <c r="AN5" s="57">
        <v>183.8</v>
      </c>
      <c r="AO5" s="57">
        <v>31.14</v>
      </c>
      <c r="AP5" s="57">
        <v>179</v>
      </c>
      <c r="AQ5" s="57">
        <v>-52.87</v>
      </c>
      <c r="AR5" s="57">
        <v>-66.459999999999994</v>
      </c>
      <c r="AS5" s="57">
        <v>359.3</v>
      </c>
      <c r="AT5" s="57">
        <v>-70.45</v>
      </c>
      <c r="AU5" s="57">
        <v>449.4</v>
      </c>
      <c r="AV5" s="57">
        <v>48.33</v>
      </c>
      <c r="AW5" s="57"/>
      <c r="AX5" s="57"/>
      <c r="AY5" s="57">
        <v>86.46</v>
      </c>
      <c r="AZ5" s="57"/>
      <c r="BA5" s="57">
        <v>200.2</v>
      </c>
      <c r="BB5" s="57">
        <v>268.10000000000002</v>
      </c>
      <c r="BC5" s="57">
        <v>-617</v>
      </c>
      <c r="BD5" s="57">
        <v>62.56</v>
      </c>
      <c r="BE5" s="57"/>
      <c r="BF5" s="57"/>
      <c r="BG5" s="57"/>
      <c r="BH5" s="57"/>
      <c r="BI5" s="57"/>
      <c r="BJ5" s="57">
        <v>200.94</v>
      </c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7"/>
      <c r="CJ5" s="57"/>
      <c r="CK5" s="57"/>
      <c r="CL5" s="57"/>
      <c r="CM5" s="57">
        <v>-861.46</v>
      </c>
      <c r="CN5" s="57">
        <v>424.93</v>
      </c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8"/>
    </row>
    <row r="6" spans="1:120" ht="15.6" x14ac:dyDescent="0.3">
      <c r="A6" s="10">
        <v>3</v>
      </c>
      <c r="B6" s="11" t="s">
        <v>6</v>
      </c>
      <c r="C6" s="11">
        <v>1</v>
      </c>
      <c r="D6" s="11" t="s">
        <v>5</v>
      </c>
      <c r="E6" s="11">
        <v>0.44690000000000002</v>
      </c>
      <c r="F6" s="11">
        <v>0.22800000000000001</v>
      </c>
      <c r="G6" s="40"/>
      <c r="H6" s="41">
        <v>-11.12</v>
      </c>
      <c r="I6" s="41">
        <v>3.4460000000000002</v>
      </c>
      <c r="J6" s="59">
        <v>0</v>
      </c>
      <c r="K6" s="57">
        <v>167</v>
      </c>
      <c r="L6" s="57">
        <v>636.1</v>
      </c>
      <c r="M6" s="57">
        <v>637.35</v>
      </c>
      <c r="N6" s="57">
        <v>903.8</v>
      </c>
      <c r="O6" s="57">
        <v>1329</v>
      </c>
      <c r="P6" s="57">
        <v>25.77</v>
      </c>
      <c r="Q6" s="57">
        <v>347.3</v>
      </c>
      <c r="R6" s="57">
        <v>5.9939999999999998</v>
      </c>
      <c r="S6" s="57">
        <v>287.10000000000002</v>
      </c>
      <c r="T6" s="57">
        <v>32.14</v>
      </c>
      <c r="U6" s="57">
        <v>161.69999999999999</v>
      </c>
      <c r="V6" s="57">
        <v>122.8</v>
      </c>
      <c r="W6" s="57">
        <v>90.49</v>
      </c>
      <c r="X6" s="57">
        <v>648.20000000000005</v>
      </c>
      <c r="Y6" s="57">
        <v>-4.4489999999999998</v>
      </c>
      <c r="Z6" s="57">
        <v>212.5</v>
      </c>
      <c r="AA6" s="57">
        <v>537.4</v>
      </c>
      <c r="AB6" s="57">
        <v>-18.809999999999999</v>
      </c>
      <c r="AC6" s="57">
        <v>-144.4</v>
      </c>
      <c r="AD6" s="57">
        <v>-231.9</v>
      </c>
      <c r="AE6" s="57">
        <v>3</v>
      </c>
      <c r="AF6" s="57">
        <v>187</v>
      </c>
      <c r="AG6" s="57">
        <v>168.04</v>
      </c>
      <c r="AH6" s="57">
        <v>194.9</v>
      </c>
      <c r="AI6" s="57">
        <v>52.067999999999998</v>
      </c>
      <c r="AJ6" s="57">
        <v>-10.43</v>
      </c>
      <c r="AK6" s="57">
        <v>-64.69</v>
      </c>
      <c r="AL6" s="57">
        <v>210.36600000000001</v>
      </c>
      <c r="AM6" s="57">
        <v>113.3</v>
      </c>
      <c r="AN6" s="57">
        <v>261.3</v>
      </c>
      <c r="AO6" s="57">
        <v>154.26</v>
      </c>
      <c r="AP6" s="57">
        <v>169.9</v>
      </c>
      <c r="AQ6" s="57">
        <v>383.9</v>
      </c>
      <c r="AR6" s="57">
        <v>-259.10000000000002</v>
      </c>
      <c r="AS6" s="57">
        <v>389.3</v>
      </c>
      <c r="AT6" s="57">
        <v>245.6</v>
      </c>
      <c r="AU6" s="57">
        <v>22.67</v>
      </c>
      <c r="AV6" s="57">
        <v>103.5</v>
      </c>
      <c r="AW6" s="57">
        <v>-432.3</v>
      </c>
      <c r="AX6" s="57">
        <v>238.9</v>
      </c>
      <c r="AY6" s="57">
        <v>30.04</v>
      </c>
      <c r="AZ6" s="57">
        <v>-88.11</v>
      </c>
      <c r="BA6" s="57"/>
      <c r="BB6" s="57">
        <v>333.3</v>
      </c>
      <c r="BC6" s="57"/>
      <c r="BD6" s="57">
        <v>-59.58</v>
      </c>
      <c r="BE6" s="57">
        <v>-39.159999999999997</v>
      </c>
      <c r="BF6" s="57"/>
      <c r="BG6" s="57"/>
      <c r="BH6" s="57"/>
      <c r="BI6" s="57"/>
      <c r="BJ6" s="57">
        <v>360.82</v>
      </c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8"/>
    </row>
    <row r="7" spans="1:120" ht="15.6" x14ac:dyDescent="0.3">
      <c r="A7" s="10">
        <v>4</v>
      </c>
      <c r="B7" s="11" t="s">
        <v>7</v>
      </c>
      <c r="C7" s="11">
        <v>1</v>
      </c>
      <c r="D7" s="11" t="s">
        <v>5</v>
      </c>
      <c r="E7" s="11">
        <v>0.2195</v>
      </c>
      <c r="F7" s="11">
        <v>0</v>
      </c>
      <c r="G7" s="40"/>
      <c r="H7" s="41">
        <v>-69.7</v>
      </c>
      <c r="I7" s="41">
        <v>-113.6</v>
      </c>
      <c r="J7" s="41">
        <v>-146.80000000000001</v>
      </c>
      <c r="K7" s="59">
        <v>0</v>
      </c>
      <c r="L7" s="57">
        <v>803.2</v>
      </c>
      <c r="M7" s="57">
        <v>603.25</v>
      </c>
      <c r="N7" s="57">
        <v>5695</v>
      </c>
      <c r="O7" s="57">
        <v>884.9</v>
      </c>
      <c r="P7" s="57">
        <v>-52.1</v>
      </c>
      <c r="Q7" s="57">
        <v>586.79999999999995</v>
      </c>
      <c r="R7" s="57">
        <v>5688</v>
      </c>
      <c r="S7" s="57">
        <v>197.8</v>
      </c>
      <c r="T7" s="57">
        <v>213.1</v>
      </c>
      <c r="U7" s="57">
        <v>19.02</v>
      </c>
      <c r="V7" s="57">
        <v>-49.29</v>
      </c>
      <c r="W7" s="57">
        <v>23.5</v>
      </c>
      <c r="X7" s="57">
        <v>664.2</v>
      </c>
      <c r="Y7" s="57">
        <v>52.8</v>
      </c>
      <c r="Z7" s="57">
        <v>6096</v>
      </c>
      <c r="AA7" s="57">
        <v>872.3</v>
      </c>
      <c r="AB7" s="57">
        <v>-114.14</v>
      </c>
      <c r="AC7" s="57">
        <v>-111</v>
      </c>
      <c r="AD7" s="57">
        <v>-80.25</v>
      </c>
      <c r="AE7" s="57">
        <v>-141.30000000000001</v>
      </c>
      <c r="AF7" s="57">
        <v>-211</v>
      </c>
      <c r="AG7" s="57">
        <v>3629</v>
      </c>
      <c r="AH7" s="57">
        <v>4448</v>
      </c>
      <c r="AI7" s="57">
        <v>-9.4510000000000005</v>
      </c>
      <c r="AJ7" s="57">
        <v>393.6</v>
      </c>
      <c r="AK7" s="57">
        <v>48.49</v>
      </c>
      <c r="AL7" s="57">
        <v>4975</v>
      </c>
      <c r="AM7" s="57">
        <v>259</v>
      </c>
      <c r="AN7" s="57">
        <v>210</v>
      </c>
      <c r="AO7" s="57">
        <v>-152.55000000000001</v>
      </c>
      <c r="AP7" s="57">
        <v>4284</v>
      </c>
      <c r="AQ7" s="57">
        <v>-119.2</v>
      </c>
      <c r="AR7" s="57">
        <v>-282.5</v>
      </c>
      <c r="AS7" s="57">
        <v>101.4</v>
      </c>
      <c r="AT7" s="57">
        <v>5629</v>
      </c>
      <c r="AU7" s="57">
        <v>-245.39</v>
      </c>
      <c r="AV7" s="57">
        <v>69.260000000000005</v>
      </c>
      <c r="AW7" s="57"/>
      <c r="AX7" s="57"/>
      <c r="AY7" s="57">
        <v>46.38</v>
      </c>
      <c r="AZ7" s="57"/>
      <c r="BA7" s="57"/>
      <c r="BB7" s="57">
        <v>421.9</v>
      </c>
      <c r="BC7" s="57"/>
      <c r="BD7" s="57">
        <v>-203.6</v>
      </c>
      <c r="BE7" s="57">
        <v>184.9</v>
      </c>
      <c r="BF7" s="57"/>
      <c r="BG7" s="57"/>
      <c r="BH7" s="57"/>
      <c r="BI7" s="57"/>
      <c r="BJ7" s="57">
        <v>233.51</v>
      </c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8"/>
    </row>
    <row r="8" spans="1:120" ht="15.6" x14ac:dyDescent="0.3">
      <c r="A8" s="10">
        <v>5</v>
      </c>
      <c r="B8" s="11" t="s">
        <v>8</v>
      </c>
      <c r="C8" s="11">
        <v>2</v>
      </c>
      <c r="D8" s="11" t="s">
        <v>9</v>
      </c>
      <c r="E8" s="11">
        <v>1.3453999999999999</v>
      </c>
      <c r="F8" s="11">
        <v>1.1759999999999999</v>
      </c>
      <c r="G8" s="40"/>
      <c r="H8" s="41">
        <v>156.4</v>
      </c>
      <c r="I8" s="41">
        <v>457</v>
      </c>
      <c r="J8" s="41">
        <v>89.6</v>
      </c>
      <c r="K8" s="41">
        <v>25.82</v>
      </c>
      <c r="L8" s="59">
        <v>0</v>
      </c>
      <c r="M8" s="57">
        <v>-137.1</v>
      </c>
      <c r="N8" s="57">
        <v>353.5</v>
      </c>
      <c r="O8" s="57">
        <v>-259.7</v>
      </c>
      <c r="P8" s="57">
        <v>84</v>
      </c>
      <c r="Q8" s="57">
        <v>-203.6</v>
      </c>
      <c r="R8" s="57">
        <v>101.1</v>
      </c>
      <c r="S8" s="57">
        <v>267.8</v>
      </c>
      <c r="T8" s="57">
        <v>28.06</v>
      </c>
      <c r="U8" s="57">
        <v>8.6419999999999995</v>
      </c>
      <c r="V8" s="57">
        <v>42.7</v>
      </c>
      <c r="W8" s="57">
        <v>-323</v>
      </c>
      <c r="X8" s="57">
        <v>-52.39</v>
      </c>
      <c r="Y8" s="57">
        <v>170.029</v>
      </c>
      <c r="Z8" s="57">
        <v>6.7119999999999997</v>
      </c>
      <c r="AA8" s="57">
        <v>199</v>
      </c>
      <c r="AB8" s="57">
        <v>75.62</v>
      </c>
      <c r="AC8" s="57">
        <v>65.28</v>
      </c>
      <c r="AD8" s="57">
        <v>-98.12</v>
      </c>
      <c r="AE8" s="57">
        <v>143.1</v>
      </c>
      <c r="AF8" s="57">
        <v>123.5</v>
      </c>
      <c r="AG8" s="57">
        <v>256.5</v>
      </c>
      <c r="AH8" s="57">
        <v>157.1</v>
      </c>
      <c r="AI8" s="57">
        <v>488.9</v>
      </c>
      <c r="AJ8" s="57">
        <v>147.5</v>
      </c>
      <c r="AK8" s="57">
        <v>-120.46</v>
      </c>
      <c r="AL8" s="57">
        <v>-318.93</v>
      </c>
      <c r="AM8" s="57">
        <v>313.5</v>
      </c>
      <c r="AN8" s="57">
        <v>202.1</v>
      </c>
      <c r="AO8" s="57">
        <v>727.8</v>
      </c>
      <c r="AP8" s="57">
        <v>-202.1</v>
      </c>
      <c r="AQ8" s="57">
        <v>74.27</v>
      </c>
      <c r="AR8" s="57">
        <v>225.8</v>
      </c>
      <c r="AS8" s="57">
        <v>44.78</v>
      </c>
      <c r="AT8" s="57">
        <v>-143.9</v>
      </c>
      <c r="AU8" s="57"/>
      <c r="AV8" s="57">
        <v>190.3</v>
      </c>
      <c r="AW8" s="57">
        <v>-817.7</v>
      </c>
      <c r="AX8" s="57">
        <v>-1712.8</v>
      </c>
      <c r="AY8" s="57">
        <v>-504.2</v>
      </c>
      <c r="AZ8" s="57">
        <v>72.959999999999994</v>
      </c>
      <c r="BA8" s="57">
        <v>-382.7</v>
      </c>
      <c r="BB8" s="57">
        <v>-248.3</v>
      </c>
      <c r="BC8" s="57"/>
      <c r="BD8" s="57">
        <v>104.7</v>
      </c>
      <c r="BE8" s="57">
        <v>57.65</v>
      </c>
      <c r="BF8" s="57"/>
      <c r="BG8" s="57"/>
      <c r="BH8" s="57"/>
      <c r="BI8" s="57"/>
      <c r="BJ8" s="57">
        <v>215.81</v>
      </c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7"/>
      <c r="CJ8" s="57"/>
      <c r="CK8" s="57"/>
      <c r="CL8" s="57"/>
      <c r="CM8" s="57">
        <v>-1840.8</v>
      </c>
      <c r="CN8" s="57">
        <v>56.298000000000002</v>
      </c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8"/>
    </row>
    <row r="9" spans="1:120" ht="15.6" x14ac:dyDescent="0.3">
      <c r="A9" s="10">
        <v>6</v>
      </c>
      <c r="B9" s="11" t="s">
        <v>10</v>
      </c>
      <c r="C9" s="11">
        <v>2</v>
      </c>
      <c r="D9" s="11" t="s">
        <v>9</v>
      </c>
      <c r="E9" s="11">
        <v>1.1167</v>
      </c>
      <c r="F9" s="11">
        <v>0.86699999999999999</v>
      </c>
      <c r="G9" s="40"/>
      <c r="H9" s="41">
        <v>16.510000000000002</v>
      </c>
      <c r="I9" s="41">
        <v>-12.52</v>
      </c>
      <c r="J9" s="41">
        <v>-50</v>
      </c>
      <c r="K9" s="41">
        <v>-44.5</v>
      </c>
      <c r="L9" s="41">
        <v>249.1</v>
      </c>
      <c r="M9" s="59">
        <v>0</v>
      </c>
      <c r="N9" s="57">
        <v>-180.95</v>
      </c>
      <c r="O9" s="57">
        <v>-101.7</v>
      </c>
      <c r="P9" s="57">
        <v>23.39</v>
      </c>
      <c r="Q9" s="57">
        <v>306.42</v>
      </c>
      <c r="R9" s="57">
        <v>-10.72</v>
      </c>
      <c r="S9" s="57">
        <v>179.7</v>
      </c>
      <c r="T9" s="57">
        <v>-128.6</v>
      </c>
      <c r="U9" s="57">
        <v>359.3</v>
      </c>
      <c r="V9" s="57">
        <v>-20.98</v>
      </c>
      <c r="W9" s="57">
        <v>53.9</v>
      </c>
      <c r="X9" s="57">
        <v>489.7</v>
      </c>
      <c r="Y9" s="57">
        <v>580.48</v>
      </c>
      <c r="Z9" s="57">
        <v>53.28</v>
      </c>
      <c r="AA9" s="57">
        <v>-202</v>
      </c>
      <c r="AB9" s="57">
        <v>-38.32</v>
      </c>
      <c r="AC9" s="57">
        <v>-102.54</v>
      </c>
      <c r="AD9" s="57">
        <v>-139.35</v>
      </c>
      <c r="AE9" s="57">
        <v>-44.76</v>
      </c>
      <c r="AF9" s="57">
        <v>-28.25</v>
      </c>
      <c r="AG9" s="57">
        <v>75.14</v>
      </c>
      <c r="AH9" s="57">
        <v>457.88</v>
      </c>
      <c r="AI9" s="57">
        <v>-31.09</v>
      </c>
      <c r="AJ9" s="57">
        <v>17.5</v>
      </c>
      <c r="AK9" s="57">
        <v>-61.76</v>
      </c>
      <c r="AL9" s="57">
        <v>-119.2</v>
      </c>
      <c r="AM9" s="57">
        <v>212.1</v>
      </c>
      <c r="AN9" s="57">
        <v>106.3</v>
      </c>
      <c r="AO9" s="57">
        <v>-119.1</v>
      </c>
      <c r="AP9" s="57">
        <v>-399.3</v>
      </c>
      <c r="AQ9" s="57">
        <v>-5.2240000000000002</v>
      </c>
      <c r="AR9" s="57">
        <v>33.47</v>
      </c>
      <c r="AS9" s="57">
        <v>-48.25</v>
      </c>
      <c r="AT9" s="57">
        <v>-172.4</v>
      </c>
      <c r="AU9" s="57"/>
      <c r="AV9" s="57">
        <v>165.7</v>
      </c>
      <c r="AW9" s="57"/>
      <c r="AX9" s="57"/>
      <c r="AY9" s="57"/>
      <c r="AZ9" s="57">
        <v>-52.1</v>
      </c>
      <c r="BA9" s="57"/>
      <c r="BB9" s="57"/>
      <c r="BC9" s="57">
        <v>37.630000000000003</v>
      </c>
      <c r="BD9" s="57">
        <v>-59.4</v>
      </c>
      <c r="BE9" s="57">
        <v>-46.01</v>
      </c>
      <c r="BF9" s="57"/>
      <c r="BG9" s="57"/>
      <c r="BH9" s="57"/>
      <c r="BI9" s="57"/>
      <c r="BJ9" s="57">
        <v>150.02000000000001</v>
      </c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8"/>
    </row>
    <row r="10" spans="1:120" ht="15.6" x14ac:dyDescent="0.3">
      <c r="A10" s="10">
        <v>7</v>
      </c>
      <c r="B10" s="11" t="s">
        <v>11</v>
      </c>
      <c r="C10" s="11">
        <v>2</v>
      </c>
      <c r="D10" s="11" t="s">
        <v>9</v>
      </c>
      <c r="E10" s="11">
        <v>1.1173</v>
      </c>
      <c r="F10" s="11">
        <v>0.98799999999999999</v>
      </c>
      <c r="G10" s="40"/>
      <c r="H10" s="41">
        <v>300</v>
      </c>
      <c r="I10" s="41">
        <v>496.1</v>
      </c>
      <c r="J10" s="41">
        <v>362.3</v>
      </c>
      <c r="K10" s="41">
        <v>377.6</v>
      </c>
      <c r="L10" s="41">
        <v>-229.1</v>
      </c>
      <c r="M10" s="41">
        <v>289.60000000000002</v>
      </c>
      <c r="N10" s="59">
        <v>0</v>
      </c>
      <c r="O10" s="57">
        <v>324.5</v>
      </c>
      <c r="P10" s="57">
        <v>-195.4</v>
      </c>
      <c r="Q10" s="57">
        <v>-116</v>
      </c>
      <c r="R10" s="57">
        <v>72.87</v>
      </c>
      <c r="S10" s="57">
        <v>233.87</v>
      </c>
      <c r="T10" s="57">
        <v>540.5</v>
      </c>
      <c r="U10" s="57">
        <v>48.89</v>
      </c>
      <c r="V10" s="57">
        <v>168</v>
      </c>
      <c r="W10" s="57">
        <v>304</v>
      </c>
      <c r="X10" s="57">
        <v>243.2</v>
      </c>
      <c r="Y10" s="57">
        <v>459</v>
      </c>
      <c r="Z10" s="57">
        <v>112.6</v>
      </c>
      <c r="AA10" s="57">
        <v>-14.09</v>
      </c>
      <c r="AB10" s="57">
        <v>325.44</v>
      </c>
      <c r="AC10" s="57">
        <v>370.4</v>
      </c>
      <c r="AD10" s="57">
        <v>353.68</v>
      </c>
      <c r="AE10" s="57">
        <v>497.54</v>
      </c>
      <c r="AF10" s="57">
        <v>133.9</v>
      </c>
      <c r="AG10" s="57">
        <v>220.6</v>
      </c>
      <c r="AH10" s="57">
        <v>399.5</v>
      </c>
      <c r="AI10" s="57">
        <v>887.1</v>
      </c>
      <c r="AJ10" s="57"/>
      <c r="AK10" s="57">
        <v>188.02600000000001</v>
      </c>
      <c r="AL10" s="57">
        <v>12.72</v>
      </c>
      <c r="AM10" s="57"/>
      <c r="AN10" s="57">
        <v>777.1</v>
      </c>
      <c r="AO10" s="57"/>
      <c r="AP10" s="57">
        <v>-139</v>
      </c>
      <c r="AQ10" s="57">
        <v>160.80000000000001</v>
      </c>
      <c r="AR10" s="57"/>
      <c r="AS10" s="57"/>
      <c r="AT10" s="57">
        <v>319</v>
      </c>
      <c r="AU10" s="57"/>
      <c r="AV10" s="57">
        <v>-197.5</v>
      </c>
      <c r="AW10" s="57">
        <v>-363.8</v>
      </c>
      <c r="AX10" s="57"/>
      <c r="AY10" s="57">
        <v>-452.2</v>
      </c>
      <c r="AZ10" s="57"/>
      <c r="BA10" s="57">
        <v>835.6</v>
      </c>
      <c r="BB10" s="57">
        <v>139.6</v>
      </c>
      <c r="BC10" s="57"/>
      <c r="BD10" s="57">
        <v>407.9</v>
      </c>
      <c r="BE10" s="57"/>
      <c r="BF10" s="57"/>
      <c r="BG10" s="57"/>
      <c r="BH10" s="57"/>
      <c r="BI10" s="57"/>
      <c r="BJ10" s="57">
        <v>-255.63</v>
      </c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8"/>
    </row>
    <row r="11" spans="1:120" ht="15.6" x14ac:dyDescent="0.3">
      <c r="A11" s="10">
        <v>8</v>
      </c>
      <c r="B11" s="11" t="s">
        <v>12</v>
      </c>
      <c r="C11" s="11">
        <v>2</v>
      </c>
      <c r="D11" s="11" t="s">
        <v>9</v>
      </c>
      <c r="E11" s="11">
        <v>0.88859999999999995</v>
      </c>
      <c r="F11" s="11">
        <v>0.67600000000000005</v>
      </c>
      <c r="G11" s="40"/>
      <c r="H11" s="41">
        <v>275.8</v>
      </c>
      <c r="I11" s="41">
        <v>217.5</v>
      </c>
      <c r="J11" s="41">
        <v>25.34</v>
      </c>
      <c r="K11" s="41">
        <v>244.2</v>
      </c>
      <c r="L11" s="41">
        <v>-451.6</v>
      </c>
      <c r="M11" s="41">
        <v>-265.2</v>
      </c>
      <c r="N11" s="41">
        <v>-601.79999999999995</v>
      </c>
      <c r="O11" s="59">
        <v>0</v>
      </c>
      <c r="P11" s="57">
        <v>-356.1</v>
      </c>
      <c r="Q11" s="57">
        <v>-271.10000000000002</v>
      </c>
      <c r="R11" s="57">
        <v>-449.4</v>
      </c>
      <c r="S11" s="57">
        <v>-32.520000000000003</v>
      </c>
      <c r="T11" s="57">
        <v>-162.8742</v>
      </c>
      <c r="U11" s="57">
        <v>-832.97</v>
      </c>
      <c r="V11" s="57"/>
      <c r="W11" s="57"/>
      <c r="X11" s="57">
        <v>119.9</v>
      </c>
      <c r="Y11" s="57">
        <v>-305.5</v>
      </c>
      <c r="Z11" s="57"/>
      <c r="AA11" s="57">
        <v>408.9</v>
      </c>
      <c r="AB11" s="57"/>
      <c r="AC11" s="57">
        <v>517.27</v>
      </c>
      <c r="AD11" s="57"/>
      <c r="AE11" s="57">
        <v>1827</v>
      </c>
      <c r="AF11" s="57">
        <v>6915</v>
      </c>
      <c r="AG11" s="57"/>
      <c r="AH11" s="57">
        <v>-413.48</v>
      </c>
      <c r="AI11" s="57">
        <v>8483.5</v>
      </c>
      <c r="AJ11" s="57"/>
      <c r="AK11" s="57"/>
      <c r="AL11" s="57">
        <v>-687.1</v>
      </c>
      <c r="AM11" s="57"/>
      <c r="AN11" s="57"/>
      <c r="AO11" s="57"/>
      <c r="AP11" s="57"/>
      <c r="AQ11" s="57"/>
      <c r="AR11" s="57"/>
      <c r="AS11" s="57"/>
      <c r="AT11" s="57"/>
      <c r="AU11" s="57"/>
      <c r="AV11" s="57">
        <v>-494.2</v>
      </c>
      <c r="AW11" s="57"/>
      <c r="AX11" s="57"/>
      <c r="AY11" s="57">
        <v>-659</v>
      </c>
      <c r="AZ11" s="57"/>
      <c r="BA11" s="57"/>
      <c r="BB11" s="57"/>
      <c r="BC11" s="57"/>
      <c r="BD11" s="57"/>
      <c r="BE11" s="57">
        <v>1005</v>
      </c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8"/>
    </row>
    <row r="12" spans="1:120" x14ac:dyDescent="0.3">
      <c r="A12" s="10">
        <v>9</v>
      </c>
      <c r="B12" s="11" t="s">
        <v>13</v>
      </c>
      <c r="C12" s="11">
        <v>3</v>
      </c>
      <c r="D12" s="11" t="s">
        <v>13</v>
      </c>
      <c r="E12" s="11">
        <v>0.53129999999999999</v>
      </c>
      <c r="F12" s="11">
        <v>0.4</v>
      </c>
      <c r="G12" s="40"/>
      <c r="H12" s="41">
        <v>26.76</v>
      </c>
      <c r="I12" s="41">
        <v>42.92</v>
      </c>
      <c r="J12" s="41">
        <v>140.1</v>
      </c>
      <c r="K12" s="41">
        <v>365.8</v>
      </c>
      <c r="L12" s="41">
        <v>164.5</v>
      </c>
      <c r="M12" s="41">
        <v>108.65</v>
      </c>
      <c r="N12" s="41">
        <v>472.5</v>
      </c>
      <c r="O12" s="41">
        <v>-133.1</v>
      </c>
      <c r="P12" s="59">
        <v>0</v>
      </c>
      <c r="Q12" s="57">
        <v>-37.36</v>
      </c>
      <c r="R12" s="57">
        <v>-213.7</v>
      </c>
      <c r="S12" s="57">
        <v>-190.4</v>
      </c>
      <c r="T12" s="57">
        <v>-103.6</v>
      </c>
      <c r="U12" s="57"/>
      <c r="V12" s="57">
        <v>-174.2</v>
      </c>
      <c r="W12" s="57">
        <v>-169</v>
      </c>
      <c r="X12" s="57">
        <v>6201</v>
      </c>
      <c r="Y12" s="57">
        <v>7.3410000000000002</v>
      </c>
      <c r="Z12" s="57">
        <v>481.7</v>
      </c>
      <c r="AA12" s="57">
        <v>669.4</v>
      </c>
      <c r="AB12" s="57">
        <v>-191.69</v>
      </c>
      <c r="AC12" s="57">
        <v>-130.30000000000001</v>
      </c>
      <c r="AD12" s="57">
        <v>-354.55</v>
      </c>
      <c r="AE12" s="57">
        <v>-39.200000000000003</v>
      </c>
      <c r="AF12" s="57">
        <v>-119.8</v>
      </c>
      <c r="AG12" s="57">
        <v>137.5</v>
      </c>
      <c r="AH12" s="57">
        <v>548.5</v>
      </c>
      <c r="AI12" s="57">
        <v>216.13800000000001</v>
      </c>
      <c r="AJ12" s="57">
        <v>-46.28</v>
      </c>
      <c r="AK12" s="57">
        <v>-163.69999999999999</v>
      </c>
      <c r="AL12" s="57">
        <v>71.459999999999994</v>
      </c>
      <c r="AM12" s="57">
        <v>53.59</v>
      </c>
      <c r="AN12" s="57">
        <v>245.2</v>
      </c>
      <c r="AO12" s="57">
        <v>-246.6</v>
      </c>
      <c r="AP12" s="57">
        <v>-44.58</v>
      </c>
      <c r="AQ12" s="57">
        <v>-63.5</v>
      </c>
      <c r="AR12" s="57">
        <v>-34.57</v>
      </c>
      <c r="AS12" s="57"/>
      <c r="AT12" s="57">
        <v>-61.7</v>
      </c>
      <c r="AU12" s="57"/>
      <c r="AV12" s="57">
        <v>-18.8</v>
      </c>
      <c r="AW12" s="57">
        <v>-588.9</v>
      </c>
      <c r="AX12" s="57"/>
      <c r="AY12" s="57"/>
      <c r="AZ12" s="57"/>
      <c r="BA12" s="57"/>
      <c r="BB12" s="57">
        <v>37.54</v>
      </c>
      <c r="BC12" s="57"/>
      <c r="BD12" s="57"/>
      <c r="BE12" s="57">
        <v>-162.6</v>
      </c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8"/>
    </row>
    <row r="13" spans="1:120" x14ac:dyDescent="0.3">
      <c r="A13" s="10">
        <v>10</v>
      </c>
      <c r="B13" s="11" t="s">
        <v>14</v>
      </c>
      <c r="C13" s="11">
        <v>3</v>
      </c>
      <c r="D13" s="11" t="s">
        <v>13</v>
      </c>
      <c r="E13" s="11">
        <v>0.36520000000000002</v>
      </c>
      <c r="F13" s="11">
        <v>0.12</v>
      </c>
      <c r="G13" s="40"/>
      <c r="H13" s="41">
        <v>505.7</v>
      </c>
      <c r="I13" s="41">
        <v>56.3</v>
      </c>
      <c r="J13" s="41">
        <v>23.39</v>
      </c>
      <c r="K13" s="41">
        <v>106</v>
      </c>
      <c r="L13" s="41">
        <v>529</v>
      </c>
      <c r="M13" s="41">
        <v>-340.18</v>
      </c>
      <c r="N13" s="41">
        <v>480.8</v>
      </c>
      <c r="O13" s="41">
        <v>-155.6</v>
      </c>
      <c r="P13" s="41">
        <v>128</v>
      </c>
      <c r="Q13" s="59">
        <v>0</v>
      </c>
      <c r="R13" s="57">
        <v>-110.3</v>
      </c>
      <c r="S13" s="57">
        <v>766</v>
      </c>
      <c r="T13" s="57">
        <v>304.10000000000002</v>
      </c>
      <c r="U13" s="57"/>
      <c r="V13" s="57"/>
      <c r="W13" s="57"/>
      <c r="X13" s="57"/>
      <c r="Y13" s="57"/>
      <c r="Z13" s="57">
        <v>-106.4</v>
      </c>
      <c r="AA13" s="57">
        <v>497.5</v>
      </c>
      <c r="AB13" s="57">
        <v>751.9</v>
      </c>
      <c r="AC13" s="57">
        <v>67.52</v>
      </c>
      <c r="AD13" s="57">
        <v>-483.7</v>
      </c>
      <c r="AE13" s="57"/>
      <c r="AF13" s="57"/>
      <c r="AG13" s="57"/>
      <c r="AH13" s="57"/>
      <c r="AI13" s="57"/>
      <c r="AJ13" s="57"/>
      <c r="AK13" s="57"/>
      <c r="AL13" s="57"/>
      <c r="AM13" s="57">
        <v>117</v>
      </c>
      <c r="AN13" s="57"/>
      <c r="AO13" s="57">
        <v>2.21</v>
      </c>
      <c r="AP13" s="57"/>
      <c r="AQ13" s="57">
        <v>-339.2</v>
      </c>
      <c r="AR13" s="57">
        <v>172.4</v>
      </c>
      <c r="AS13" s="57"/>
      <c r="AT13" s="57">
        <v>-268.8</v>
      </c>
      <c r="AU13" s="57"/>
      <c r="AV13" s="57">
        <v>-275.5</v>
      </c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8"/>
    </row>
    <row r="14" spans="1:120" ht="15.6" x14ac:dyDescent="0.3">
      <c r="A14" s="10">
        <v>11</v>
      </c>
      <c r="B14" s="11" t="s">
        <v>15</v>
      </c>
      <c r="C14" s="11">
        <v>4</v>
      </c>
      <c r="D14" s="11" t="s">
        <v>16</v>
      </c>
      <c r="E14" s="11">
        <v>1.2663</v>
      </c>
      <c r="F14" s="11">
        <v>0.96799999999999997</v>
      </c>
      <c r="G14" s="40"/>
      <c r="H14" s="41">
        <v>114.8</v>
      </c>
      <c r="I14" s="41">
        <v>132.1</v>
      </c>
      <c r="J14" s="41">
        <v>85.84</v>
      </c>
      <c r="K14" s="41">
        <v>-170</v>
      </c>
      <c r="L14" s="41">
        <v>245.4</v>
      </c>
      <c r="M14" s="41">
        <v>249.63</v>
      </c>
      <c r="N14" s="41">
        <v>200.8</v>
      </c>
      <c r="O14" s="41">
        <v>-36.72</v>
      </c>
      <c r="P14" s="41">
        <v>372.2</v>
      </c>
      <c r="Q14" s="41">
        <v>185.1</v>
      </c>
      <c r="R14" s="59">
        <v>0</v>
      </c>
      <c r="S14" s="57">
        <v>-241.8</v>
      </c>
      <c r="T14" s="57">
        <v>-235.7</v>
      </c>
      <c r="U14" s="57"/>
      <c r="V14" s="57">
        <v>-73.5</v>
      </c>
      <c r="W14" s="57">
        <v>-196.7</v>
      </c>
      <c r="X14" s="57">
        <v>475.5</v>
      </c>
      <c r="Y14" s="57">
        <v>-0.13</v>
      </c>
      <c r="Z14" s="57">
        <v>494.6</v>
      </c>
      <c r="AA14" s="57">
        <v>660.2</v>
      </c>
      <c r="AB14" s="57">
        <v>-34.74</v>
      </c>
      <c r="AC14" s="57">
        <v>108.85</v>
      </c>
      <c r="AD14" s="57">
        <v>-209.66</v>
      </c>
      <c r="AE14" s="57">
        <v>54.57</v>
      </c>
      <c r="AF14" s="57">
        <v>442.4</v>
      </c>
      <c r="AG14" s="57">
        <v>-81.13</v>
      </c>
      <c r="AH14" s="57"/>
      <c r="AI14" s="57">
        <v>183.04599999999999</v>
      </c>
      <c r="AJ14" s="57"/>
      <c r="AK14" s="57">
        <v>202.25</v>
      </c>
      <c r="AL14" s="57">
        <v>-101.7</v>
      </c>
      <c r="AM14" s="57">
        <v>148.30000000000001</v>
      </c>
      <c r="AN14" s="57">
        <v>18.88</v>
      </c>
      <c r="AO14" s="57">
        <v>71.48</v>
      </c>
      <c r="AP14" s="57">
        <v>52.08</v>
      </c>
      <c r="AQ14" s="57">
        <v>-28.61</v>
      </c>
      <c r="AR14" s="57">
        <v>-275.2</v>
      </c>
      <c r="AS14" s="57"/>
      <c r="AT14" s="57">
        <v>85.33</v>
      </c>
      <c r="AU14" s="57"/>
      <c r="AV14" s="57">
        <v>560.20000000000005</v>
      </c>
      <c r="AW14" s="57"/>
      <c r="AX14" s="57"/>
      <c r="AY14" s="57"/>
      <c r="AZ14" s="57"/>
      <c r="BA14" s="57"/>
      <c r="BB14" s="57">
        <v>151.80000000000001</v>
      </c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8"/>
    </row>
    <row r="15" spans="1:120" ht="15.6" x14ac:dyDescent="0.3">
      <c r="A15" s="10">
        <v>12</v>
      </c>
      <c r="B15" s="11" t="s">
        <v>16</v>
      </c>
      <c r="C15" s="11">
        <v>4</v>
      </c>
      <c r="D15" s="11" t="s">
        <v>16</v>
      </c>
      <c r="E15" s="11">
        <v>1.0396000000000001</v>
      </c>
      <c r="F15" s="11">
        <v>0.66</v>
      </c>
      <c r="G15" s="40"/>
      <c r="H15" s="41">
        <v>329.3</v>
      </c>
      <c r="I15" s="41">
        <v>110.4</v>
      </c>
      <c r="J15" s="41">
        <v>18.12</v>
      </c>
      <c r="K15" s="41">
        <v>428</v>
      </c>
      <c r="L15" s="41">
        <v>139.4</v>
      </c>
      <c r="M15" s="41">
        <v>227.8</v>
      </c>
      <c r="N15" s="41">
        <v>124.63</v>
      </c>
      <c r="O15" s="41">
        <v>-234.25</v>
      </c>
      <c r="P15" s="41">
        <v>385.4</v>
      </c>
      <c r="Q15" s="41">
        <v>-236.5</v>
      </c>
      <c r="R15" s="41">
        <v>1167</v>
      </c>
      <c r="S15" s="59">
        <v>0</v>
      </c>
      <c r="T15" s="57">
        <v>-234</v>
      </c>
      <c r="U15" s="57"/>
      <c r="V15" s="57"/>
      <c r="W15" s="57"/>
      <c r="X15" s="57"/>
      <c r="Y15" s="57">
        <v>-233.4</v>
      </c>
      <c r="Z15" s="57">
        <v>-47.25</v>
      </c>
      <c r="AA15" s="57">
        <v>-268.10000000000002</v>
      </c>
      <c r="AB15" s="57"/>
      <c r="AC15" s="57">
        <v>31</v>
      </c>
      <c r="AD15" s="57">
        <v>-126.2</v>
      </c>
      <c r="AE15" s="57">
        <v>179.7</v>
      </c>
      <c r="AF15" s="57">
        <v>24.28</v>
      </c>
      <c r="AG15" s="57"/>
      <c r="AH15" s="57"/>
      <c r="AI15" s="57"/>
      <c r="AJ15" s="57">
        <v>103.9</v>
      </c>
      <c r="AK15" s="57"/>
      <c r="AL15" s="57"/>
      <c r="AM15" s="57"/>
      <c r="AN15" s="57">
        <v>298.13</v>
      </c>
      <c r="AO15" s="57"/>
      <c r="AP15" s="57"/>
      <c r="AQ15" s="57"/>
      <c r="AR15" s="57">
        <v>-11.4</v>
      </c>
      <c r="AS15" s="57"/>
      <c r="AT15" s="57">
        <v>308.89999999999998</v>
      </c>
      <c r="AU15" s="57"/>
      <c r="AV15" s="57">
        <v>-122.3</v>
      </c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8"/>
    </row>
    <row r="16" spans="1:120" ht="15.6" x14ac:dyDescent="0.3">
      <c r="A16" s="10">
        <v>13</v>
      </c>
      <c r="B16" s="11" t="s">
        <v>17</v>
      </c>
      <c r="C16" s="11">
        <v>4</v>
      </c>
      <c r="D16" s="11" t="s">
        <v>16</v>
      </c>
      <c r="E16" s="11">
        <v>0.81210000000000004</v>
      </c>
      <c r="F16" s="11">
        <v>0.34799999999999998</v>
      </c>
      <c r="G16" s="40"/>
      <c r="H16" s="41">
        <v>83.36</v>
      </c>
      <c r="I16" s="41">
        <v>26.51</v>
      </c>
      <c r="J16" s="41">
        <v>52.13</v>
      </c>
      <c r="K16" s="41">
        <v>65.69</v>
      </c>
      <c r="L16" s="41">
        <v>237.7</v>
      </c>
      <c r="M16" s="41">
        <v>238.4</v>
      </c>
      <c r="N16" s="41">
        <v>-314.7</v>
      </c>
      <c r="O16" s="41">
        <v>-178.5461</v>
      </c>
      <c r="P16" s="41">
        <v>191.1</v>
      </c>
      <c r="Q16" s="41">
        <v>-7.8380000000000001</v>
      </c>
      <c r="R16" s="41">
        <v>461.3</v>
      </c>
      <c r="S16" s="41">
        <v>457.3</v>
      </c>
      <c r="T16" s="59">
        <v>0</v>
      </c>
      <c r="U16" s="57">
        <v>-78.36</v>
      </c>
      <c r="V16" s="57">
        <v>251.5</v>
      </c>
      <c r="W16" s="57">
        <v>5422.2997999999998</v>
      </c>
      <c r="X16" s="57">
        <v>-46.39</v>
      </c>
      <c r="Y16" s="57">
        <v>213.2</v>
      </c>
      <c r="Z16" s="57">
        <v>-18.510000000000002</v>
      </c>
      <c r="AA16" s="57">
        <v>664.6</v>
      </c>
      <c r="AB16" s="57">
        <v>301.14</v>
      </c>
      <c r="AC16" s="57">
        <v>137.77000000000001</v>
      </c>
      <c r="AD16" s="57">
        <v>-154.30000000000001</v>
      </c>
      <c r="AE16" s="57">
        <v>47.67</v>
      </c>
      <c r="AF16" s="57">
        <v>134.80000000000001</v>
      </c>
      <c r="AG16" s="57">
        <v>95.18</v>
      </c>
      <c r="AH16" s="57">
        <v>155.11000000000001</v>
      </c>
      <c r="AI16" s="57">
        <v>140.89599999999999</v>
      </c>
      <c r="AJ16" s="57">
        <v>-8.5380000000000003</v>
      </c>
      <c r="AK16" s="57">
        <v>170.1</v>
      </c>
      <c r="AL16" s="57">
        <v>-20.11</v>
      </c>
      <c r="AM16" s="57">
        <v>-149.5</v>
      </c>
      <c r="AN16" s="57">
        <v>-202.3</v>
      </c>
      <c r="AO16" s="57">
        <v>-156.57</v>
      </c>
      <c r="AP16" s="57">
        <v>128.80000000000001</v>
      </c>
      <c r="AQ16" s="57"/>
      <c r="AR16" s="57">
        <v>240.2</v>
      </c>
      <c r="AS16" s="57">
        <v>-273.95</v>
      </c>
      <c r="AT16" s="57">
        <v>254.8</v>
      </c>
      <c r="AU16" s="57">
        <v>-172.51</v>
      </c>
      <c r="AV16" s="57">
        <v>417</v>
      </c>
      <c r="AW16" s="57">
        <v>1338</v>
      </c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8"/>
    </row>
    <row r="17" spans="1:120" x14ac:dyDescent="0.3">
      <c r="A17" s="10">
        <v>14</v>
      </c>
      <c r="B17" s="11" t="s">
        <v>18</v>
      </c>
      <c r="C17" s="11">
        <v>5</v>
      </c>
      <c r="D17" s="11" t="s">
        <v>18</v>
      </c>
      <c r="E17" s="11">
        <v>1</v>
      </c>
      <c r="F17" s="11">
        <v>1.2</v>
      </c>
      <c r="G17" s="40"/>
      <c r="H17" s="41">
        <v>-30.48</v>
      </c>
      <c r="I17" s="41">
        <v>1.163</v>
      </c>
      <c r="J17" s="41">
        <v>-44.85</v>
      </c>
      <c r="K17" s="41">
        <v>296.39999999999998</v>
      </c>
      <c r="L17" s="41">
        <v>-242.8</v>
      </c>
      <c r="M17" s="41">
        <v>-481.65</v>
      </c>
      <c r="N17" s="41">
        <v>-330.4</v>
      </c>
      <c r="O17" s="41">
        <v>-870.8</v>
      </c>
      <c r="P17" s="41"/>
      <c r="Q17" s="41"/>
      <c r="R17" s="41"/>
      <c r="S17" s="41"/>
      <c r="T17" s="41">
        <v>222.1</v>
      </c>
      <c r="U17" s="59">
        <v>0</v>
      </c>
      <c r="V17" s="57">
        <v>-107.2</v>
      </c>
      <c r="W17" s="57">
        <v>-41.11</v>
      </c>
      <c r="X17" s="57">
        <v>-200.7</v>
      </c>
      <c r="Y17" s="57"/>
      <c r="Z17" s="57">
        <v>358.9</v>
      </c>
      <c r="AA17" s="57"/>
      <c r="AB17" s="57">
        <v>-82.92</v>
      </c>
      <c r="AC17" s="57"/>
      <c r="AD17" s="57"/>
      <c r="AE17" s="57">
        <v>-99.81</v>
      </c>
      <c r="AF17" s="57">
        <v>30.05</v>
      </c>
      <c r="AG17" s="57"/>
      <c r="AH17" s="57"/>
      <c r="AI17" s="57"/>
      <c r="AJ17" s="57">
        <v>-70.14</v>
      </c>
      <c r="AK17" s="57"/>
      <c r="AL17" s="57"/>
      <c r="AM17" s="57"/>
      <c r="AN17" s="57"/>
      <c r="AO17" s="57"/>
      <c r="AP17" s="57">
        <v>874.19</v>
      </c>
      <c r="AQ17" s="57"/>
      <c r="AR17" s="57"/>
      <c r="AS17" s="57"/>
      <c r="AT17" s="57">
        <v>-164</v>
      </c>
      <c r="AU17" s="57"/>
      <c r="AV17" s="57"/>
      <c r="AW17" s="57">
        <v>-664.4</v>
      </c>
      <c r="AX17" s="57">
        <v>275.89999999999998</v>
      </c>
      <c r="AY17" s="57"/>
      <c r="AZ17" s="57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8"/>
    </row>
    <row r="18" spans="1:120" ht="15.6" x14ac:dyDescent="0.3">
      <c r="A18" s="10">
        <v>15</v>
      </c>
      <c r="B18" s="11" t="s">
        <v>19</v>
      </c>
      <c r="C18" s="11">
        <v>6</v>
      </c>
      <c r="D18" s="11" t="s">
        <v>19</v>
      </c>
      <c r="E18" s="11">
        <v>1.4311</v>
      </c>
      <c r="F18" s="11">
        <v>1.4319999999999999</v>
      </c>
      <c r="G18" s="40"/>
      <c r="H18" s="41">
        <v>65.33</v>
      </c>
      <c r="I18" s="41">
        <v>-28.7</v>
      </c>
      <c r="J18" s="41">
        <v>-22.31</v>
      </c>
      <c r="K18" s="41">
        <v>223</v>
      </c>
      <c r="L18" s="41">
        <v>-150</v>
      </c>
      <c r="M18" s="41">
        <v>-370.3</v>
      </c>
      <c r="N18" s="41">
        <v>-448.2</v>
      </c>
      <c r="O18" s="41"/>
      <c r="P18" s="41">
        <v>394.6</v>
      </c>
      <c r="Q18" s="41"/>
      <c r="R18" s="41">
        <v>136</v>
      </c>
      <c r="S18" s="41"/>
      <c r="T18" s="41">
        <v>-56.08</v>
      </c>
      <c r="U18" s="41">
        <v>127.4</v>
      </c>
      <c r="V18" s="59">
        <v>0</v>
      </c>
      <c r="W18" s="57">
        <v>-189.2</v>
      </c>
      <c r="X18" s="57">
        <v>138.54</v>
      </c>
      <c r="Y18" s="57">
        <v>431.49</v>
      </c>
      <c r="Z18" s="57">
        <v>147.1</v>
      </c>
      <c r="AA18" s="57"/>
      <c r="AB18" s="57"/>
      <c r="AC18" s="57"/>
      <c r="AD18" s="57"/>
      <c r="AE18" s="57">
        <v>71.23</v>
      </c>
      <c r="AF18" s="57">
        <v>-18.93</v>
      </c>
      <c r="AG18" s="57"/>
      <c r="AH18" s="57"/>
      <c r="AI18" s="57"/>
      <c r="AJ18" s="57"/>
      <c r="AK18" s="57"/>
      <c r="AL18" s="57">
        <v>939.07</v>
      </c>
      <c r="AM18" s="57"/>
      <c r="AN18" s="57"/>
      <c r="AO18" s="57"/>
      <c r="AP18" s="57"/>
      <c r="AQ18" s="57"/>
      <c r="AR18" s="57"/>
      <c r="AS18" s="57">
        <v>570.9</v>
      </c>
      <c r="AT18" s="57">
        <v>-255.22</v>
      </c>
      <c r="AU18" s="57"/>
      <c r="AV18" s="57">
        <v>-38.770000000000003</v>
      </c>
      <c r="AW18" s="57">
        <v>448.1</v>
      </c>
      <c r="AX18" s="57">
        <v>-1327</v>
      </c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8"/>
    </row>
    <row r="19" spans="1:120" ht="15.6" x14ac:dyDescent="0.3">
      <c r="A19" s="10">
        <v>16</v>
      </c>
      <c r="B19" s="11" t="s">
        <v>20</v>
      </c>
      <c r="C19" s="11">
        <v>7</v>
      </c>
      <c r="D19" s="11" t="s">
        <v>20</v>
      </c>
      <c r="E19" s="11">
        <v>0.92</v>
      </c>
      <c r="F19" s="11">
        <v>1.4</v>
      </c>
      <c r="G19" s="40"/>
      <c r="H19" s="41">
        <v>-83.98</v>
      </c>
      <c r="I19" s="41">
        <v>-25.38</v>
      </c>
      <c r="J19" s="41">
        <v>-223.9</v>
      </c>
      <c r="K19" s="41">
        <v>109.9</v>
      </c>
      <c r="L19" s="41">
        <v>28.6</v>
      </c>
      <c r="M19" s="41">
        <v>-406.8</v>
      </c>
      <c r="N19" s="41">
        <v>-598.79999999999995</v>
      </c>
      <c r="O19" s="41"/>
      <c r="P19" s="41">
        <v>225.3</v>
      </c>
      <c r="Q19" s="41"/>
      <c r="R19" s="41">
        <v>2888.6001000000001</v>
      </c>
      <c r="S19" s="41"/>
      <c r="T19" s="41">
        <v>-194.1</v>
      </c>
      <c r="U19" s="41">
        <v>38.89</v>
      </c>
      <c r="V19" s="41">
        <v>865.9</v>
      </c>
      <c r="W19" s="59">
        <v>0</v>
      </c>
      <c r="X19" s="57">
        <v>287.43</v>
      </c>
      <c r="Y19" s="57"/>
      <c r="Z19" s="57">
        <v>1255.0999999999999</v>
      </c>
      <c r="AA19" s="57"/>
      <c r="AB19" s="57">
        <v>-182.91</v>
      </c>
      <c r="AC19" s="57">
        <v>-73.849999999999994</v>
      </c>
      <c r="AD19" s="57">
        <v>-352.9</v>
      </c>
      <c r="AE19" s="57">
        <v>-262</v>
      </c>
      <c r="AF19" s="57">
        <v>-181.9</v>
      </c>
      <c r="AG19" s="57"/>
      <c r="AH19" s="57"/>
      <c r="AI19" s="57"/>
      <c r="AJ19" s="57"/>
      <c r="AK19" s="57"/>
      <c r="AL19" s="57"/>
      <c r="AM19" s="57"/>
      <c r="AN19" s="57"/>
      <c r="AO19" s="57"/>
      <c r="AP19" s="57">
        <v>243.1</v>
      </c>
      <c r="AQ19" s="57"/>
      <c r="AR19" s="57"/>
      <c r="AS19" s="57">
        <v>-196.31200000000001</v>
      </c>
      <c r="AT19" s="57">
        <v>22.05</v>
      </c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8"/>
    </row>
    <row r="20" spans="1:120" x14ac:dyDescent="0.3">
      <c r="A20" s="10">
        <v>17</v>
      </c>
      <c r="B20" s="11" t="s">
        <v>21</v>
      </c>
      <c r="C20" s="11">
        <v>8</v>
      </c>
      <c r="D20" s="11" t="s">
        <v>21</v>
      </c>
      <c r="E20" s="11">
        <v>0.8952</v>
      </c>
      <c r="F20" s="11">
        <v>0.68</v>
      </c>
      <c r="G20" s="40"/>
      <c r="H20" s="41">
        <v>1139</v>
      </c>
      <c r="I20" s="41">
        <v>2000</v>
      </c>
      <c r="J20" s="41">
        <v>247.5</v>
      </c>
      <c r="K20" s="41">
        <v>762.8</v>
      </c>
      <c r="L20" s="41">
        <v>-17.399999999999999</v>
      </c>
      <c r="M20" s="41">
        <v>-118.1</v>
      </c>
      <c r="N20" s="41">
        <v>-341.6</v>
      </c>
      <c r="O20" s="41">
        <v>-253.1</v>
      </c>
      <c r="P20" s="41">
        <v>-450.3</v>
      </c>
      <c r="Q20" s="41"/>
      <c r="R20" s="41">
        <v>-294.8</v>
      </c>
      <c r="S20" s="41"/>
      <c r="T20" s="41">
        <v>285.36</v>
      </c>
      <c r="U20" s="41">
        <v>-15.07</v>
      </c>
      <c r="V20" s="41">
        <v>64.3</v>
      </c>
      <c r="W20" s="41">
        <v>-24.46</v>
      </c>
      <c r="X20" s="59">
        <v>0</v>
      </c>
      <c r="Y20" s="57">
        <v>89.7</v>
      </c>
      <c r="Z20" s="57">
        <v>-281.60000000000002</v>
      </c>
      <c r="AA20" s="57">
        <v>-396</v>
      </c>
      <c r="AB20" s="57">
        <v>287</v>
      </c>
      <c r="AC20" s="57">
        <v>-111</v>
      </c>
      <c r="AD20" s="57"/>
      <c r="AE20" s="57">
        <v>882</v>
      </c>
      <c r="AF20" s="57">
        <v>617.5</v>
      </c>
      <c r="AG20" s="57"/>
      <c r="AH20" s="57">
        <v>-139.30000000000001</v>
      </c>
      <c r="AI20" s="57"/>
      <c r="AJ20" s="57"/>
      <c r="AK20" s="57"/>
      <c r="AL20" s="57">
        <v>0.1004</v>
      </c>
      <c r="AM20" s="57"/>
      <c r="AN20" s="57"/>
      <c r="AO20" s="57"/>
      <c r="AP20" s="57"/>
      <c r="AQ20" s="57"/>
      <c r="AR20" s="57"/>
      <c r="AS20" s="57"/>
      <c r="AT20" s="57">
        <v>-334.4</v>
      </c>
      <c r="AU20" s="57"/>
      <c r="AV20" s="57">
        <v>-89.42</v>
      </c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8"/>
    </row>
    <row r="21" spans="1:120" ht="15.6" x14ac:dyDescent="0.3">
      <c r="A21" s="10">
        <v>18</v>
      </c>
      <c r="B21" s="11" t="s">
        <v>22</v>
      </c>
      <c r="C21" s="11">
        <v>9</v>
      </c>
      <c r="D21" s="11" t="s">
        <v>23</v>
      </c>
      <c r="E21" s="11">
        <v>1.6724000000000001</v>
      </c>
      <c r="F21" s="11">
        <v>1.488</v>
      </c>
      <c r="G21" s="40"/>
      <c r="H21" s="41">
        <v>-101.56</v>
      </c>
      <c r="I21" s="41">
        <v>-47.63</v>
      </c>
      <c r="J21" s="41">
        <v>31.87</v>
      </c>
      <c r="K21" s="41">
        <v>49.8</v>
      </c>
      <c r="L21" s="41">
        <v>-132.30000000000001</v>
      </c>
      <c r="M21" s="41">
        <v>-378.24</v>
      </c>
      <c r="N21" s="41">
        <v>-332.9</v>
      </c>
      <c r="O21" s="41">
        <v>-341.6</v>
      </c>
      <c r="P21" s="41">
        <v>29.1</v>
      </c>
      <c r="Q21" s="41"/>
      <c r="R21" s="41">
        <v>8.8699999999999992</v>
      </c>
      <c r="S21" s="41">
        <v>554.4</v>
      </c>
      <c r="T21" s="41">
        <v>-156.1</v>
      </c>
      <c r="U21" s="41"/>
      <c r="V21" s="41">
        <v>-207.66</v>
      </c>
      <c r="W21" s="41"/>
      <c r="X21" s="41">
        <v>117.4</v>
      </c>
      <c r="Y21" s="59">
        <v>0</v>
      </c>
      <c r="Z21" s="57">
        <v>-169.67</v>
      </c>
      <c r="AA21" s="57">
        <v>-153.69999999999999</v>
      </c>
      <c r="AB21" s="57"/>
      <c r="AC21" s="57">
        <v>-351.6</v>
      </c>
      <c r="AD21" s="57">
        <v>-114.73</v>
      </c>
      <c r="AE21" s="57">
        <v>-205.3</v>
      </c>
      <c r="AF21" s="57">
        <v>-2.17</v>
      </c>
      <c r="AG21" s="57"/>
      <c r="AH21" s="57">
        <v>2845</v>
      </c>
      <c r="AI21" s="57"/>
      <c r="AJ21" s="57"/>
      <c r="AK21" s="57"/>
      <c r="AL21" s="57"/>
      <c r="AM21" s="57"/>
      <c r="AN21" s="57">
        <v>-60.78</v>
      </c>
      <c r="AO21" s="57"/>
      <c r="AP21" s="57"/>
      <c r="AQ21" s="57"/>
      <c r="AR21" s="57">
        <v>160.69999999999999</v>
      </c>
      <c r="AS21" s="57">
        <v>-158.80000000000001</v>
      </c>
      <c r="AT21" s="57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>
        <v>-136.6</v>
      </c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8"/>
    </row>
    <row r="22" spans="1:120" ht="15.6" x14ac:dyDescent="0.3">
      <c r="A22" s="10">
        <v>19</v>
      </c>
      <c r="B22" s="11" t="s">
        <v>23</v>
      </c>
      <c r="C22" s="11">
        <v>9</v>
      </c>
      <c r="D22" s="11" t="s">
        <v>23</v>
      </c>
      <c r="E22" s="11">
        <v>1.4457</v>
      </c>
      <c r="F22" s="11">
        <v>1.18</v>
      </c>
      <c r="G22" s="40"/>
      <c r="H22" s="41">
        <v>24.82</v>
      </c>
      <c r="I22" s="41">
        <v>-40.619999999999997</v>
      </c>
      <c r="J22" s="41">
        <v>-22.97</v>
      </c>
      <c r="K22" s="41">
        <v>-138.4</v>
      </c>
      <c r="L22" s="41">
        <v>185.4</v>
      </c>
      <c r="M22" s="41">
        <v>162.6</v>
      </c>
      <c r="N22" s="41">
        <v>242.8</v>
      </c>
      <c r="O22" s="41"/>
      <c r="P22" s="41">
        <v>-287.5</v>
      </c>
      <c r="Q22" s="41">
        <v>224.66</v>
      </c>
      <c r="R22" s="41">
        <v>-266.60000000000002</v>
      </c>
      <c r="S22" s="41">
        <v>99.37</v>
      </c>
      <c r="T22" s="41">
        <v>38.81</v>
      </c>
      <c r="U22" s="41">
        <v>-157.30000000000001</v>
      </c>
      <c r="V22" s="41">
        <v>-108.5</v>
      </c>
      <c r="W22" s="41">
        <v>-446.86</v>
      </c>
      <c r="X22" s="41">
        <v>777.4</v>
      </c>
      <c r="Y22" s="41">
        <v>134.28</v>
      </c>
      <c r="Z22" s="59">
        <v>0</v>
      </c>
      <c r="AA22" s="57">
        <v>205.27</v>
      </c>
      <c r="AB22" s="57">
        <v>4.9329999999999998</v>
      </c>
      <c r="AC22" s="57">
        <v>-152.69999999999999</v>
      </c>
      <c r="AD22" s="57">
        <v>-15.62</v>
      </c>
      <c r="AE22" s="57">
        <v>-54.86</v>
      </c>
      <c r="AF22" s="57">
        <v>-4.6239999999999997</v>
      </c>
      <c r="AG22" s="57">
        <v>-0.51500000000000001</v>
      </c>
      <c r="AH22" s="57"/>
      <c r="AI22" s="57">
        <v>230.852</v>
      </c>
      <c r="AJ22" s="57">
        <v>0.46039999999999998</v>
      </c>
      <c r="AK22" s="57"/>
      <c r="AL22" s="57">
        <v>177.5</v>
      </c>
      <c r="AM22" s="57"/>
      <c r="AN22" s="57">
        <v>-62.17</v>
      </c>
      <c r="AO22" s="57">
        <v>-203.02</v>
      </c>
      <c r="AP22" s="57"/>
      <c r="AQ22" s="57">
        <v>81.569999999999993</v>
      </c>
      <c r="AR22" s="57">
        <v>-55.77</v>
      </c>
      <c r="AS22" s="57"/>
      <c r="AT22" s="57">
        <v>-151.5</v>
      </c>
      <c r="AU22" s="57"/>
      <c r="AV22" s="57">
        <v>120.3</v>
      </c>
      <c r="AW22" s="57"/>
      <c r="AX22" s="57"/>
      <c r="AY22" s="57"/>
      <c r="AZ22" s="57"/>
      <c r="BA22" s="57"/>
      <c r="BB22" s="57">
        <v>16.23</v>
      </c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8"/>
    </row>
    <row r="23" spans="1:120" x14ac:dyDescent="0.3">
      <c r="A23" s="10">
        <v>20</v>
      </c>
      <c r="B23" s="11" t="s">
        <v>24</v>
      </c>
      <c r="C23" s="11">
        <v>10</v>
      </c>
      <c r="D23" s="11" t="s">
        <v>24</v>
      </c>
      <c r="E23" s="11">
        <v>0.998</v>
      </c>
      <c r="F23" s="11">
        <v>0.94799999999999995</v>
      </c>
      <c r="G23" s="40"/>
      <c r="H23" s="41">
        <v>315.3</v>
      </c>
      <c r="I23" s="41">
        <v>1264</v>
      </c>
      <c r="J23" s="41">
        <v>62.32</v>
      </c>
      <c r="K23" s="41">
        <v>89.86</v>
      </c>
      <c r="L23" s="41">
        <v>-151</v>
      </c>
      <c r="M23" s="41">
        <v>339.8</v>
      </c>
      <c r="N23" s="41">
        <v>-66.17</v>
      </c>
      <c r="O23" s="41">
        <v>-11</v>
      </c>
      <c r="P23" s="41">
        <v>-297.8</v>
      </c>
      <c r="Q23" s="41">
        <v>-165.5</v>
      </c>
      <c r="R23" s="41">
        <v>-256.3</v>
      </c>
      <c r="S23" s="41">
        <v>193.9</v>
      </c>
      <c r="T23" s="41">
        <v>-338.5</v>
      </c>
      <c r="U23" s="41"/>
      <c r="V23" s="41"/>
      <c r="W23" s="41"/>
      <c r="X23" s="41">
        <v>493.8</v>
      </c>
      <c r="Y23" s="41">
        <v>-313.5</v>
      </c>
      <c r="Z23" s="41">
        <v>92.07</v>
      </c>
      <c r="AA23" s="59">
        <v>0</v>
      </c>
      <c r="AB23" s="57">
        <v>13.41</v>
      </c>
      <c r="AC23" s="57">
        <v>-44.7</v>
      </c>
      <c r="AD23" s="57">
        <v>39.630000000000003</v>
      </c>
      <c r="AE23" s="57">
        <v>183.4</v>
      </c>
      <c r="AF23" s="57">
        <v>-79.08</v>
      </c>
      <c r="AG23" s="57"/>
      <c r="AH23" s="57"/>
      <c r="AI23" s="57"/>
      <c r="AJ23" s="57"/>
      <c r="AK23" s="57">
        <v>-208.9</v>
      </c>
      <c r="AL23" s="57"/>
      <c r="AM23" s="57">
        <v>228.4</v>
      </c>
      <c r="AN23" s="57">
        <v>-95</v>
      </c>
      <c r="AO23" s="57"/>
      <c r="AP23" s="57">
        <v>-463.6</v>
      </c>
      <c r="AQ23" s="57"/>
      <c r="AR23" s="57">
        <v>-11.16</v>
      </c>
      <c r="AS23" s="57"/>
      <c r="AT23" s="57">
        <v>-228</v>
      </c>
      <c r="AU23" s="57"/>
      <c r="AV23" s="57">
        <v>-337</v>
      </c>
      <c r="AW23" s="57"/>
      <c r="AX23" s="57"/>
      <c r="AY23" s="57"/>
      <c r="AZ23" s="57"/>
      <c r="BA23" s="57">
        <v>-322.3</v>
      </c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8"/>
    </row>
    <row r="24" spans="1:120" ht="15.6" x14ac:dyDescent="0.3">
      <c r="A24" s="10">
        <v>21</v>
      </c>
      <c r="B24" s="11" t="s">
        <v>25</v>
      </c>
      <c r="C24" s="11">
        <v>11</v>
      </c>
      <c r="D24" s="11" t="s">
        <v>27</v>
      </c>
      <c r="E24" s="11">
        <v>1.9031</v>
      </c>
      <c r="F24" s="11">
        <v>1.728</v>
      </c>
      <c r="G24" s="40"/>
      <c r="H24" s="41">
        <v>91.46</v>
      </c>
      <c r="I24" s="41">
        <v>40.25</v>
      </c>
      <c r="J24" s="41">
        <v>4.68</v>
      </c>
      <c r="K24" s="41">
        <v>122.91</v>
      </c>
      <c r="L24" s="41">
        <v>562.20000000000005</v>
      </c>
      <c r="M24" s="41">
        <v>529</v>
      </c>
      <c r="N24" s="41">
        <v>698.24</v>
      </c>
      <c r="O24" s="41"/>
      <c r="P24" s="41">
        <v>286.27999999999997</v>
      </c>
      <c r="Q24" s="41">
        <v>-47.51</v>
      </c>
      <c r="R24" s="41">
        <v>35.380000000000003</v>
      </c>
      <c r="S24" s="41"/>
      <c r="T24" s="41">
        <v>225.39</v>
      </c>
      <c r="U24" s="41">
        <v>131.19999999999999</v>
      </c>
      <c r="V24" s="41"/>
      <c r="W24" s="41">
        <v>151.38</v>
      </c>
      <c r="X24" s="41">
        <v>429.7</v>
      </c>
      <c r="Y24" s="41"/>
      <c r="Z24" s="41">
        <v>54.32</v>
      </c>
      <c r="AA24" s="41">
        <v>519.1</v>
      </c>
      <c r="AB24" s="59">
        <v>0</v>
      </c>
      <c r="AC24" s="57">
        <v>108.31</v>
      </c>
      <c r="AD24" s="57">
        <v>249.15</v>
      </c>
      <c r="AE24" s="57">
        <v>62.42</v>
      </c>
      <c r="AF24" s="57">
        <v>153</v>
      </c>
      <c r="AG24" s="57">
        <v>32.729999999999997</v>
      </c>
      <c r="AH24" s="57">
        <v>86.2</v>
      </c>
      <c r="AI24" s="57">
        <v>450.08800000000002</v>
      </c>
      <c r="AJ24" s="57">
        <v>59.02</v>
      </c>
      <c r="AK24" s="57">
        <v>65.56</v>
      </c>
      <c r="AL24" s="57"/>
      <c r="AM24" s="57">
        <v>2.2200000000000002</v>
      </c>
      <c r="AN24" s="57">
        <v>344.4</v>
      </c>
      <c r="AO24" s="57"/>
      <c r="AP24" s="57"/>
      <c r="AQ24" s="57"/>
      <c r="AR24" s="57">
        <v>-168.2</v>
      </c>
      <c r="AS24" s="57"/>
      <c r="AT24" s="57">
        <v>6.57</v>
      </c>
      <c r="AU24" s="57"/>
      <c r="AV24" s="57">
        <v>63.67</v>
      </c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8"/>
    </row>
    <row r="25" spans="1:120" ht="15.6" x14ac:dyDescent="0.3">
      <c r="A25" s="10">
        <v>22</v>
      </c>
      <c r="B25" s="11" t="s">
        <v>26</v>
      </c>
      <c r="C25" s="11">
        <v>11</v>
      </c>
      <c r="D25" s="11" t="s">
        <v>27</v>
      </c>
      <c r="E25" s="11">
        <v>1.6763999999999999</v>
      </c>
      <c r="F25" s="11">
        <v>1.42</v>
      </c>
      <c r="G25" s="40"/>
      <c r="H25" s="41">
        <v>34.01</v>
      </c>
      <c r="I25" s="41">
        <v>-23.5</v>
      </c>
      <c r="J25" s="41">
        <v>121.3</v>
      </c>
      <c r="K25" s="41">
        <v>140.78</v>
      </c>
      <c r="L25" s="41">
        <v>527.6</v>
      </c>
      <c r="M25" s="41">
        <v>669.9</v>
      </c>
      <c r="N25" s="41">
        <v>708.69</v>
      </c>
      <c r="O25" s="41">
        <v>1633.5</v>
      </c>
      <c r="P25" s="41">
        <v>82.86</v>
      </c>
      <c r="Q25" s="41">
        <v>190.6</v>
      </c>
      <c r="R25" s="41">
        <v>-132.94999999999999</v>
      </c>
      <c r="S25" s="41">
        <v>80.989999999999995</v>
      </c>
      <c r="T25" s="41">
        <v>-197.71</v>
      </c>
      <c r="U25" s="41"/>
      <c r="V25" s="41"/>
      <c r="W25" s="41">
        <v>-141.4</v>
      </c>
      <c r="X25" s="41">
        <v>140.80000000000001</v>
      </c>
      <c r="Y25" s="41">
        <v>587.29999999999995</v>
      </c>
      <c r="Z25" s="41">
        <v>258.60000000000002</v>
      </c>
      <c r="AA25" s="41">
        <v>543.29999999999995</v>
      </c>
      <c r="AB25" s="41">
        <v>-84.53</v>
      </c>
      <c r="AC25" s="59">
        <v>0</v>
      </c>
      <c r="AD25" s="57">
        <v>0</v>
      </c>
      <c r="AE25" s="57">
        <v>56.33</v>
      </c>
      <c r="AF25" s="57">
        <v>223.1</v>
      </c>
      <c r="AG25" s="57">
        <v>108.9</v>
      </c>
      <c r="AH25" s="57"/>
      <c r="AI25" s="57"/>
      <c r="AJ25" s="57"/>
      <c r="AK25" s="57">
        <v>149.56</v>
      </c>
      <c r="AL25" s="57"/>
      <c r="AM25" s="57">
        <v>177.6</v>
      </c>
      <c r="AN25" s="57">
        <v>315.89999999999998</v>
      </c>
      <c r="AO25" s="57"/>
      <c r="AP25" s="57">
        <v>215</v>
      </c>
      <c r="AQ25" s="57"/>
      <c r="AR25" s="57">
        <v>-91.8</v>
      </c>
      <c r="AS25" s="57"/>
      <c r="AT25" s="57">
        <v>-160.28</v>
      </c>
      <c r="AU25" s="57"/>
      <c r="AV25" s="57">
        <v>-96.87</v>
      </c>
      <c r="AW25" s="57"/>
      <c r="AX25" s="57"/>
      <c r="AY25" s="57"/>
      <c r="AZ25" s="57"/>
      <c r="BA25" s="57"/>
      <c r="BB25" s="57">
        <v>361.1</v>
      </c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7"/>
      <c r="CJ25" s="57"/>
      <c r="CK25" s="57"/>
      <c r="CL25" s="57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57"/>
      <c r="DI25" s="57"/>
      <c r="DJ25" s="57"/>
      <c r="DK25" s="57"/>
      <c r="DL25" s="57"/>
      <c r="DM25" s="57"/>
      <c r="DN25" s="57"/>
      <c r="DO25" s="57"/>
      <c r="DP25" s="58"/>
    </row>
    <row r="26" spans="1:120" x14ac:dyDescent="0.3">
      <c r="A26" s="10">
        <v>23</v>
      </c>
      <c r="B26" s="11" t="s">
        <v>28</v>
      </c>
      <c r="C26" s="11">
        <v>12</v>
      </c>
      <c r="D26" s="11" t="s">
        <v>28</v>
      </c>
      <c r="E26" s="11">
        <v>1.242</v>
      </c>
      <c r="F26" s="11">
        <v>1.1879999999999999</v>
      </c>
      <c r="G26" s="40"/>
      <c r="H26" s="41">
        <v>36.700000000000003</v>
      </c>
      <c r="I26" s="41">
        <v>51.06</v>
      </c>
      <c r="J26" s="41">
        <v>288.5</v>
      </c>
      <c r="K26" s="41">
        <v>69.900000000000006</v>
      </c>
      <c r="L26" s="41">
        <v>742.1</v>
      </c>
      <c r="M26" s="41">
        <v>649.1</v>
      </c>
      <c r="N26" s="41">
        <v>826.76</v>
      </c>
      <c r="O26" s="41"/>
      <c r="P26" s="41">
        <v>552.1</v>
      </c>
      <c r="Q26" s="41">
        <v>242.8</v>
      </c>
      <c r="R26" s="41">
        <v>176.45</v>
      </c>
      <c r="S26" s="41">
        <v>235.6</v>
      </c>
      <c r="T26" s="41">
        <v>-20.93</v>
      </c>
      <c r="U26" s="41"/>
      <c r="V26" s="41"/>
      <c r="W26" s="41">
        <v>-293.7</v>
      </c>
      <c r="X26" s="41"/>
      <c r="Y26" s="41">
        <v>18.98</v>
      </c>
      <c r="Z26" s="41">
        <v>74.040000000000006</v>
      </c>
      <c r="AA26" s="41">
        <v>504.2</v>
      </c>
      <c r="AB26" s="41">
        <v>-157.1</v>
      </c>
      <c r="AC26" s="41">
        <v>0</v>
      </c>
      <c r="AD26" s="59">
        <v>0</v>
      </c>
      <c r="AE26" s="57">
        <v>-30.1</v>
      </c>
      <c r="AF26" s="57">
        <v>192.1</v>
      </c>
      <c r="AG26" s="57"/>
      <c r="AH26" s="57"/>
      <c r="AI26" s="57">
        <v>116.61199999999999</v>
      </c>
      <c r="AJ26" s="57"/>
      <c r="AK26" s="57">
        <v>-64.38</v>
      </c>
      <c r="AL26" s="57"/>
      <c r="AM26" s="57">
        <v>86.4</v>
      </c>
      <c r="AN26" s="57">
        <v>168.8</v>
      </c>
      <c r="AO26" s="57"/>
      <c r="AP26" s="57">
        <v>363.7</v>
      </c>
      <c r="AQ26" s="57"/>
      <c r="AR26" s="57">
        <v>111.2</v>
      </c>
      <c r="AS26" s="57"/>
      <c r="AT26" s="57"/>
      <c r="AU26" s="57"/>
      <c r="AV26" s="57">
        <v>255.8</v>
      </c>
      <c r="AW26" s="57"/>
      <c r="AX26" s="57"/>
      <c r="AY26" s="57">
        <v>-35.68</v>
      </c>
      <c r="AZ26" s="57"/>
      <c r="BA26" s="57"/>
      <c r="BB26" s="57"/>
      <c r="BC26" s="57">
        <v>565.9</v>
      </c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7"/>
      <c r="CJ26" s="57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57"/>
      <c r="DI26" s="57"/>
      <c r="DJ26" s="57"/>
      <c r="DK26" s="57"/>
      <c r="DL26" s="57"/>
      <c r="DM26" s="57"/>
      <c r="DN26" s="57"/>
      <c r="DO26" s="57"/>
      <c r="DP26" s="58"/>
    </row>
    <row r="27" spans="1:120" ht="15.6" x14ac:dyDescent="0.3">
      <c r="A27" s="10">
        <v>24</v>
      </c>
      <c r="B27" s="11" t="s">
        <v>29</v>
      </c>
      <c r="C27" s="11">
        <v>13</v>
      </c>
      <c r="D27" s="11" t="s">
        <v>30</v>
      </c>
      <c r="E27" s="11">
        <v>1.145</v>
      </c>
      <c r="F27" s="11">
        <v>1.0880000000000001</v>
      </c>
      <c r="G27" s="40"/>
      <c r="H27" s="41">
        <v>-78.45</v>
      </c>
      <c r="I27" s="41">
        <v>160.9</v>
      </c>
      <c r="J27" s="41">
        <v>-4.7</v>
      </c>
      <c r="K27" s="41">
        <v>134.69999999999999</v>
      </c>
      <c r="L27" s="41">
        <v>856.3</v>
      </c>
      <c r="M27" s="41">
        <v>709.6</v>
      </c>
      <c r="N27" s="41">
        <v>1201</v>
      </c>
      <c r="O27" s="41">
        <v>10000</v>
      </c>
      <c r="P27" s="41">
        <v>372</v>
      </c>
      <c r="Q27" s="41"/>
      <c r="R27" s="41">
        <v>129.49</v>
      </c>
      <c r="S27" s="41">
        <v>351.9</v>
      </c>
      <c r="T27" s="41">
        <v>113.9</v>
      </c>
      <c r="U27" s="41">
        <v>261.10000000000002</v>
      </c>
      <c r="V27" s="41">
        <v>91.13</v>
      </c>
      <c r="W27" s="41">
        <v>316.89999999999998</v>
      </c>
      <c r="X27" s="41">
        <v>898.2</v>
      </c>
      <c r="Y27" s="41">
        <v>368.5</v>
      </c>
      <c r="Z27" s="41">
        <v>491.95</v>
      </c>
      <c r="AA27" s="41">
        <v>631</v>
      </c>
      <c r="AB27" s="41">
        <v>11.8</v>
      </c>
      <c r="AC27" s="41">
        <v>17.97</v>
      </c>
      <c r="AD27" s="41">
        <v>51.9</v>
      </c>
      <c r="AE27" s="59">
        <v>0</v>
      </c>
      <c r="AF27" s="57">
        <v>-75.97</v>
      </c>
      <c r="AG27" s="57">
        <v>490.88</v>
      </c>
      <c r="AH27" s="57">
        <v>534.70000000000005</v>
      </c>
      <c r="AI27" s="57">
        <v>132.19999999999999</v>
      </c>
      <c r="AJ27" s="57"/>
      <c r="AK27" s="57">
        <v>546.67999999999995</v>
      </c>
      <c r="AL27" s="57"/>
      <c r="AM27" s="57">
        <v>247.8</v>
      </c>
      <c r="AN27" s="57">
        <v>146.6</v>
      </c>
      <c r="AO27" s="57"/>
      <c r="AP27" s="57">
        <v>337.7</v>
      </c>
      <c r="AQ27" s="57">
        <v>369.49</v>
      </c>
      <c r="AR27" s="57">
        <v>187.1</v>
      </c>
      <c r="AS27" s="57">
        <v>215.2</v>
      </c>
      <c r="AT27" s="57">
        <v>498.6</v>
      </c>
      <c r="AU27" s="57"/>
      <c r="AV27" s="57">
        <v>256.5</v>
      </c>
      <c r="AW27" s="57"/>
      <c r="AX27" s="57">
        <v>233.1</v>
      </c>
      <c r="AY27" s="57"/>
      <c r="AZ27" s="57"/>
      <c r="BA27" s="57"/>
      <c r="BB27" s="57">
        <v>423.1</v>
      </c>
      <c r="BC27" s="57">
        <v>63.95</v>
      </c>
      <c r="BD27" s="57"/>
      <c r="BE27" s="57">
        <v>108.5</v>
      </c>
      <c r="BF27" s="57"/>
      <c r="BG27" s="57"/>
      <c r="BH27" s="57"/>
      <c r="BI27" s="57"/>
      <c r="BJ27" s="57">
        <v>585.19000000000005</v>
      </c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7"/>
      <c r="CJ27" s="57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57"/>
      <c r="DI27" s="57"/>
      <c r="DJ27" s="57"/>
      <c r="DK27" s="57"/>
      <c r="DL27" s="57"/>
      <c r="DM27" s="57"/>
      <c r="DN27" s="57"/>
      <c r="DO27" s="57"/>
      <c r="DP27" s="58"/>
    </row>
    <row r="28" spans="1:120" ht="15.6" x14ac:dyDescent="0.3">
      <c r="A28" s="10">
        <v>25</v>
      </c>
      <c r="B28" s="11" t="s">
        <v>30</v>
      </c>
      <c r="C28" s="11">
        <v>13</v>
      </c>
      <c r="D28" s="11" t="s">
        <v>30</v>
      </c>
      <c r="E28" s="11">
        <v>0.91830000000000001</v>
      </c>
      <c r="F28" s="11">
        <v>0.78</v>
      </c>
      <c r="G28" s="40"/>
      <c r="H28" s="41">
        <v>106.8</v>
      </c>
      <c r="I28" s="41">
        <v>70.319999999999993</v>
      </c>
      <c r="J28" s="41">
        <v>-97.27</v>
      </c>
      <c r="K28" s="41">
        <v>402.5</v>
      </c>
      <c r="L28" s="41">
        <v>325.7</v>
      </c>
      <c r="M28" s="41">
        <v>612.79999999999995</v>
      </c>
      <c r="N28" s="41">
        <v>-274.5</v>
      </c>
      <c r="O28" s="41">
        <v>622.29999999999995</v>
      </c>
      <c r="P28" s="41">
        <v>518.4</v>
      </c>
      <c r="Q28" s="41"/>
      <c r="R28" s="41">
        <v>-171.1</v>
      </c>
      <c r="S28" s="41">
        <v>383.3</v>
      </c>
      <c r="T28" s="41">
        <v>-25.15</v>
      </c>
      <c r="U28" s="41">
        <v>108.5</v>
      </c>
      <c r="V28" s="41">
        <v>102.2</v>
      </c>
      <c r="W28" s="41">
        <v>2951</v>
      </c>
      <c r="X28" s="41">
        <v>334.9</v>
      </c>
      <c r="Y28" s="41">
        <v>20.18</v>
      </c>
      <c r="Z28" s="41">
        <v>363.5</v>
      </c>
      <c r="AA28" s="41">
        <v>993.4</v>
      </c>
      <c r="AB28" s="41">
        <v>-129.69999999999999</v>
      </c>
      <c r="AC28" s="41">
        <v>-8.3089999999999993</v>
      </c>
      <c r="AD28" s="41">
        <v>-0.2266</v>
      </c>
      <c r="AE28" s="41">
        <v>248.4</v>
      </c>
      <c r="AF28" s="59">
        <v>0</v>
      </c>
      <c r="AG28" s="57">
        <v>132.69999999999999</v>
      </c>
      <c r="AH28" s="57">
        <v>2213</v>
      </c>
      <c r="AI28" s="57"/>
      <c r="AJ28" s="57"/>
      <c r="AK28" s="57"/>
      <c r="AL28" s="57"/>
      <c r="AM28" s="57"/>
      <c r="AN28" s="57">
        <v>593.4</v>
      </c>
      <c r="AO28" s="57"/>
      <c r="AP28" s="57">
        <v>1337.37</v>
      </c>
      <c r="AQ28" s="57"/>
      <c r="AR28" s="57"/>
      <c r="AS28" s="57"/>
      <c r="AT28" s="57">
        <v>5143.1400999999996</v>
      </c>
      <c r="AU28" s="57">
        <v>309.58</v>
      </c>
      <c r="AV28" s="57">
        <v>-71.180000000000007</v>
      </c>
      <c r="AW28" s="57"/>
      <c r="AX28" s="57"/>
      <c r="AY28" s="57">
        <v>-209.7</v>
      </c>
      <c r="AZ28" s="57"/>
      <c r="BA28" s="57"/>
      <c r="BB28" s="57">
        <v>434.1</v>
      </c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7"/>
      <c r="CJ28" s="57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57"/>
      <c r="DI28" s="57"/>
      <c r="DJ28" s="57"/>
      <c r="DK28" s="57"/>
      <c r="DL28" s="57"/>
      <c r="DM28" s="57"/>
      <c r="DN28" s="57"/>
      <c r="DO28" s="57"/>
      <c r="DP28" s="58"/>
    </row>
    <row r="29" spans="1:120" ht="15.6" x14ac:dyDescent="0.3">
      <c r="A29" s="10">
        <v>26</v>
      </c>
      <c r="B29" s="11" t="s">
        <v>24</v>
      </c>
      <c r="C29" s="11">
        <v>13</v>
      </c>
      <c r="D29" s="11" t="s">
        <v>30</v>
      </c>
      <c r="E29" s="11">
        <v>0.69079999999999997</v>
      </c>
      <c r="F29" s="11">
        <v>0.46800000000000003</v>
      </c>
      <c r="G29" s="40"/>
      <c r="H29" s="41">
        <v>-32.69</v>
      </c>
      <c r="I29" s="41">
        <v>-1.996</v>
      </c>
      <c r="J29" s="41">
        <v>10.38</v>
      </c>
      <c r="K29" s="41">
        <v>-97.05</v>
      </c>
      <c r="L29" s="41">
        <v>261.60000000000002</v>
      </c>
      <c r="M29" s="41">
        <v>252.56</v>
      </c>
      <c r="N29" s="41">
        <v>417.9</v>
      </c>
      <c r="O29" s="41"/>
      <c r="P29" s="41">
        <v>-142.61000000000001</v>
      </c>
      <c r="Q29" s="41"/>
      <c r="R29" s="41">
        <v>129.30000000000001</v>
      </c>
      <c r="S29" s="41"/>
      <c r="T29" s="41">
        <v>-94.49</v>
      </c>
      <c r="U29" s="41"/>
      <c r="V29" s="41"/>
      <c r="W29" s="41"/>
      <c r="X29" s="41"/>
      <c r="Y29" s="41"/>
      <c r="Z29" s="41">
        <v>0.28299999999999997</v>
      </c>
      <c r="AA29" s="41"/>
      <c r="AB29" s="41">
        <v>113</v>
      </c>
      <c r="AC29" s="41">
        <v>-9.6389999999999993</v>
      </c>
      <c r="AD29" s="41"/>
      <c r="AE29" s="41">
        <v>-34.68</v>
      </c>
      <c r="AF29" s="41">
        <v>132.9</v>
      </c>
      <c r="AG29" s="59">
        <v>0</v>
      </c>
      <c r="AH29" s="57">
        <v>533.20000000000005</v>
      </c>
      <c r="AI29" s="57">
        <v>320.2</v>
      </c>
      <c r="AJ29" s="57"/>
      <c r="AK29" s="57"/>
      <c r="AL29" s="57">
        <v>139.822</v>
      </c>
      <c r="AM29" s="57">
        <v>304.3</v>
      </c>
      <c r="AN29" s="57">
        <v>10.17</v>
      </c>
      <c r="AO29" s="57">
        <v>-27.701000000000001</v>
      </c>
      <c r="AP29" s="57"/>
      <c r="AQ29" s="57"/>
      <c r="AR29" s="57">
        <v>10.76</v>
      </c>
      <c r="AS29" s="57"/>
      <c r="AT29" s="57">
        <v>-223.1</v>
      </c>
      <c r="AU29" s="57"/>
      <c r="AV29" s="57">
        <v>248.4</v>
      </c>
      <c r="AW29" s="57"/>
      <c r="AX29" s="57"/>
      <c r="AY29" s="57"/>
      <c r="AZ29" s="57">
        <v>-218.9</v>
      </c>
      <c r="BA29" s="57"/>
      <c r="BB29" s="57"/>
      <c r="BC29" s="57"/>
      <c r="BD29" s="57"/>
      <c r="BE29" s="57">
        <v>-4.5650000000000004</v>
      </c>
      <c r="BF29" s="57"/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8"/>
    </row>
    <row r="30" spans="1:120" ht="15.6" x14ac:dyDescent="0.3">
      <c r="A30" s="10">
        <v>27</v>
      </c>
      <c r="B30" s="11" t="s">
        <v>31</v>
      </c>
      <c r="C30" s="11">
        <v>13</v>
      </c>
      <c r="D30" s="11" t="s">
        <v>30</v>
      </c>
      <c r="E30" s="11">
        <v>0.91830000000000001</v>
      </c>
      <c r="F30" s="11">
        <v>1.1000000000000001</v>
      </c>
      <c r="G30" s="40"/>
      <c r="H30" s="41">
        <v>5541</v>
      </c>
      <c r="I30" s="41"/>
      <c r="J30" s="41">
        <v>1824</v>
      </c>
      <c r="K30" s="41">
        <v>-127.8</v>
      </c>
      <c r="L30" s="41">
        <v>561.6</v>
      </c>
      <c r="M30" s="41">
        <v>511.29</v>
      </c>
      <c r="N30" s="41">
        <v>360.7</v>
      </c>
      <c r="O30" s="41">
        <v>815.12</v>
      </c>
      <c r="P30" s="41">
        <v>-101.5</v>
      </c>
      <c r="Q30" s="41"/>
      <c r="R30" s="41"/>
      <c r="S30" s="41"/>
      <c r="T30" s="41">
        <v>220.66</v>
      </c>
      <c r="U30" s="41"/>
      <c r="V30" s="41"/>
      <c r="W30" s="41"/>
      <c r="X30" s="41">
        <v>134.9</v>
      </c>
      <c r="Y30" s="41">
        <v>2475</v>
      </c>
      <c r="Z30" s="41"/>
      <c r="AA30" s="41"/>
      <c r="AB30" s="41">
        <v>1971</v>
      </c>
      <c r="AC30" s="41"/>
      <c r="AD30" s="41"/>
      <c r="AE30" s="41">
        <v>514.6</v>
      </c>
      <c r="AF30" s="41">
        <v>-123.1</v>
      </c>
      <c r="AG30" s="41">
        <v>-85.12</v>
      </c>
      <c r="AH30" s="59">
        <v>0</v>
      </c>
      <c r="AI30" s="57"/>
      <c r="AJ30" s="57"/>
      <c r="AK30" s="57"/>
      <c r="AL30" s="57"/>
      <c r="AM30" s="57">
        <v>2990</v>
      </c>
      <c r="AN30" s="57">
        <v>-124</v>
      </c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7"/>
      <c r="CC30" s="57"/>
      <c r="CD30" s="57"/>
      <c r="CE30" s="57"/>
      <c r="CF30" s="57"/>
      <c r="CG30" s="57"/>
      <c r="CH30" s="57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8"/>
    </row>
    <row r="31" spans="1:120" ht="15.6" x14ac:dyDescent="0.3">
      <c r="A31" s="10">
        <v>28</v>
      </c>
      <c r="B31" s="11" t="s">
        <v>32</v>
      </c>
      <c r="C31" s="11">
        <v>14</v>
      </c>
      <c r="D31" s="11" t="s">
        <v>35</v>
      </c>
      <c r="E31" s="11">
        <v>1.5959000000000001</v>
      </c>
      <c r="F31" s="11">
        <v>1.544</v>
      </c>
      <c r="G31" s="40"/>
      <c r="H31" s="41">
        <v>-52.65</v>
      </c>
      <c r="I31" s="41">
        <v>16.623000000000001</v>
      </c>
      <c r="J31" s="41">
        <v>21.497</v>
      </c>
      <c r="K31" s="41">
        <v>40.674999999999997</v>
      </c>
      <c r="L31" s="41">
        <v>609.79999999999995</v>
      </c>
      <c r="M31" s="41">
        <v>914.2</v>
      </c>
      <c r="N31" s="41">
        <v>1081</v>
      </c>
      <c r="O31" s="41">
        <v>1421.3</v>
      </c>
      <c r="P31" s="41">
        <v>303.65699999999998</v>
      </c>
      <c r="Q31" s="41"/>
      <c r="R31" s="41">
        <v>243.77500000000001</v>
      </c>
      <c r="S31" s="41"/>
      <c r="T31" s="41">
        <v>112.38200000000001</v>
      </c>
      <c r="U31" s="41"/>
      <c r="V31" s="41"/>
      <c r="W31" s="41"/>
      <c r="X31" s="41"/>
      <c r="Y31" s="41"/>
      <c r="Z31" s="41">
        <v>335.74299999999999</v>
      </c>
      <c r="AA31" s="41"/>
      <c r="AB31" s="41">
        <v>-73.091999999999999</v>
      </c>
      <c r="AC31" s="41"/>
      <c r="AD31" s="41">
        <v>-26.058</v>
      </c>
      <c r="AE31" s="41">
        <v>-60.71</v>
      </c>
      <c r="AF31" s="41"/>
      <c r="AG31" s="41">
        <v>277.8</v>
      </c>
      <c r="AH31" s="41"/>
      <c r="AI31" s="59">
        <v>0</v>
      </c>
      <c r="AJ31" s="57"/>
      <c r="AK31" s="57"/>
      <c r="AL31" s="57"/>
      <c r="AM31" s="57">
        <v>292.7</v>
      </c>
      <c r="AN31" s="57"/>
      <c r="AO31" s="57"/>
      <c r="AP31" s="57"/>
      <c r="AQ31" s="57"/>
      <c r="AR31" s="57">
        <v>-47.37</v>
      </c>
      <c r="AS31" s="57"/>
      <c r="AT31" s="57"/>
      <c r="AU31" s="57"/>
      <c r="AV31" s="57">
        <v>469.8</v>
      </c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8"/>
    </row>
    <row r="32" spans="1:120" ht="15.6" x14ac:dyDescent="0.3">
      <c r="A32" s="10">
        <v>29</v>
      </c>
      <c r="B32" s="11" t="s">
        <v>33</v>
      </c>
      <c r="C32" s="11">
        <v>14</v>
      </c>
      <c r="D32" s="11" t="s">
        <v>35</v>
      </c>
      <c r="E32" s="11">
        <v>1.3692</v>
      </c>
      <c r="F32" s="11">
        <v>1.236</v>
      </c>
      <c r="G32" s="40"/>
      <c r="H32" s="41">
        <v>-7.4809999999999999</v>
      </c>
      <c r="I32" s="41"/>
      <c r="J32" s="41">
        <v>28.41</v>
      </c>
      <c r="K32" s="41">
        <v>19.559999999999999</v>
      </c>
      <c r="L32" s="41">
        <v>461.6</v>
      </c>
      <c r="M32" s="41">
        <v>448.6</v>
      </c>
      <c r="N32" s="41"/>
      <c r="O32" s="41"/>
      <c r="P32" s="41">
        <v>160.6</v>
      </c>
      <c r="Q32" s="41"/>
      <c r="R32" s="41"/>
      <c r="S32" s="41">
        <v>201.5</v>
      </c>
      <c r="T32" s="41">
        <v>63.71</v>
      </c>
      <c r="U32" s="41">
        <v>106.7</v>
      </c>
      <c r="V32" s="41"/>
      <c r="W32" s="41"/>
      <c r="X32" s="41"/>
      <c r="Y32" s="41"/>
      <c r="Z32" s="41">
        <v>161</v>
      </c>
      <c r="AA32" s="41"/>
      <c r="AB32" s="41">
        <v>-27.94</v>
      </c>
      <c r="AC32" s="41"/>
      <c r="AD32" s="41"/>
      <c r="AE32" s="41"/>
      <c r="AF32" s="41"/>
      <c r="AG32" s="41"/>
      <c r="AH32" s="41"/>
      <c r="AI32" s="41"/>
      <c r="AJ32" s="59">
        <v>0</v>
      </c>
      <c r="AK32" s="57"/>
      <c r="AL32" s="57"/>
      <c r="AM32" s="57"/>
      <c r="AN32" s="57"/>
      <c r="AO32" s="57"/>
      <c r="AP32" s="57">
        <v>31.66</v>
      </c>
      <c r="AQ32" s="57"/>
      <c r="AR32" s="57"/>
      <c r="AS32" s="57"/>
      <c r="AT32" s="57">
        <v>78.92</v>
      </c>
      <c r="AU32" s="57"/>
      <c r="AV32" s="57"/>
      <c r="AW32" s="57"/>
      <c r="AX32" s="57"/>
      <c r="AY32" s="57">
        <v>1004.2</v>
      </c>
      <c r="AZ32" s="57"/>
      <c r="BA32" s="57"/>
      <c r="BB32" s="57"/>
      <c r="BC32" s="57">
        <v>-18.27</v>
      </c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7"/>
      <c r="CC32" s="57"/>
      <c r="CD32" s="57"/>
      <c r="CE32" s="57"/>
      <c r="CF32" s="57"/>
      <c r="CG32" s="57"/>
      <c r="CH32" s="57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8"/>
    </row>
    <row r="33" spans="1:120" ht="15.6" x14ac:dyDescent="0.3">
      <c r="A33" s="10">
        <v>30</v>
      </c>
      <c r="B33" s="11" t="s">
        <v>34</v>
      </c>
      <c r="C33" s="11">
        <v>14</v>
      </c>
      <c r="D33" s="11" t="s">
        <v>35</v>
      </c>
      <c r="E33" s="11">
        <v>1.1416999999999999</v>
      </c>
      <c r="F33" s="11">
        <v>0.92400000000000004</v>
      </c>
      <c r="G33" s="40"/>
      <c r="H33" s="41">
        <v>-25.31</v>
      </c>
      <c r="I33" s="41">
        <v>82.64</v>
      </c>
      <c r="J33" s="41">
        <v>157.29</v>
      </c>
      <c r="K33" s="41">
        <v>128.80000000000001</v>
      </c>
      <c r="L33" s="41">
        <v>521.63</v>
      </c>
      <c r="M33" s="41">
        <v>287</v>
      </c>
      <c r="N33" s="41">
        <v>23.484000000000002</v>
      </c>
      <c r="O33" s="41"/>
      <c r="P33" s="41">
        <v>317.5</v>
      </c>
      <c r="Q33" s="41"/>
      <c r="R33" s="41">
        <v>-146.31</v>
      </c>
      <c r="S33" s="41"/>
      <c r="T33" s="41">
        <v>-87.31</v>
      </c>
      <c r="U33" s="41"/>
      <c r="V33" s="41"/>
      <c r="W33" s="41"/>
      <c r="X33" s="41"/>
      <c r="Y33" s="41"/>
      <c r="Z33" s="41"/>
      <c r="AA33" s="41">
        <v>570.6</v>
      </c>
      <c r="AB33" s="41">
        <v>-39.46</v>
      </c>
      <c r="AC33" s="41">
        <v>-116.21</v>
      </c>
      <c r="AD33" s="41">
        <v>48.484000000000002</v>
      </c>
      <c r="AE33" s="41">
        <v>-133.16</v>
      </c>
      <c r="AF33" s="41"/>
      <c r="AG33" s="41"/>
      <c r="AH33" s="41"/>
      <c r="AI33" s="41"/>
      <c r="AJ33" s="41"/>
      <c r="AK33" s="59">
        <v>0</v>
      </c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>
        <v>43.37</v>
      </c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7"/>
      <c r="CC33" s="57"/>
      <c r="CD33" s="57"/>
      <c r="CE33" s="57"/>
      <c r="CF33" s="57"/>
      <c r="CG33" s="57"/>
      <c r="CH33" s="57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8"/>
    </row>
    <row r="34" spans="1:120" ht="15.6" x14ac:dyDescent="0.3">
      <c r="A34" s="10">
        <v>31</v>
      </c>
      <c r="B34" s="11" t="s">
        <v>37</v>
      </c>
      <c r="C34" s="11">
        <v>15</v>
      </c>
      <c r="D34" s="11" t="s">
        <v>36</v>
      </c>
      <c r="E34" s="11">
        <v>1.4337</v>
      </c>
      <c r="F34" s="11">
        <v>1.244</v>
      </c>
      <c r="G34" s="40"/>
      <c r="H34" s="41">
        <v>139.93</v>
      </c>
      <c r="I34" s="41"/>
      <c r="J34" s="41">
        <v>221.4</v>
      </c>
      <c r="K34" s="41">
        <v>150.63999999999999</v>
      </c>
      <c r="L34" s="41">
        <v>267.60000000000002</v>
      </c>
      <c r="M34" s="41">
        <v>240.8</v>
      </c>
      <c r="N34" s="41">
        <v>-137.4</v>
      </c>
      <c r="O34" s="41">
        <v>838.4</v>
      </c>
      <c r="P34" s="41">
        <v>135.4</v>
      </c>
      <c r="Q34" s="41"/>
      <c r="R34" s="41">
        <v>152</v>
      </c>
      <c r="S34" s="41"/>
      <c r="T34" s="41">
        <v>9.2070000000000007</v>
      </c>
      <c r="U34" s="41"/>
      <c r="V34" s="41">
        <v>-213.74</v>
      </c>
      <c r="W34" s="41"/>
      <c r="X34" s="41">
        <v>192.3</v>
      </c>
      <c r="Y34" s="41"/>
      <c r="Z34" s="41">
        <v>169.6</v>
      </c>
      <c r="AA34" s="41"/>
      <c r="AB34" s="41"/>
      <c r="AC34" s="41"/>
      <c r="AD34" s="41"/>
      <c r="AE34" s="41"/>
      <c r="AF34" s="41"/>
      <c r="AG34" s="41">
        <v>481.34800000000001</v>
      </c>
      <c r="AH34" s="41"/>
      <c r="AI34" s="41"/>
      <c r="AJ34" s="41"/>
      <c r="AK34" s="41"/>
      <c r="AL34" s="59">
        <v>0</v>
      </c>
      <c r="AM34" s="57"/>
      <c r="AN34" s="57"/>
      <c r="AO34" s="57"/>
      <c r="AP34" s="57">
        <v>-417.2</v>
      </c>
      <c r="AQ34" s="57"/>
      <c r="AR34" s="57"/>
      <c r="AS34" s="57"/>
      <c r="AT34" s="57">
        <v>302.2</v>
      </c>
      <c r="AU34" s="57"/>
      <c r="AV34" s="57">
        <v>347.8</v>
      </c>
      <c r="AW34" s="57"/>
      <c r="AX34" s="57"/>
      <c r="AY34" s="57">
        <v>-262</v>
      </c>
      <c r="AZ34" s="57"/>
      <c r="BA34" s="57"/>
      <c r="BB34" s="57">
        <v>-353.5</v>
      </c>
      <c r="BC34" s="57"/>
      <c r="BD34" s="57"/>
      <c r="BE34" s="57"/>
      <c r="BF34" s="57"/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7"/>
      <c r="CC34" s="57"/>
      <c r="CD34" s="57"/>
      <c r="CE34" s="57"/>
      <c r="CF34" s="57"/>
      <c r="CG34" s="57"/>
      <c r="CH34" s="57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8"/>
    </row>
    <row r="35" spans="1:120" ht="15.6" x14ac:dyDescent="0.3">
      <c r="A35" s="10">
        <v>32</v>
      </c>
      <c r="B35" s="11" t="s">
        <v>38</v>
      </c>
      <c r="C35" s="11">
        <v>15</v>
      </c>
      <c r="D35" s="11" t="s">
        <v>36</v>
      </c>
      <c r="E35" s="11">
        <v>1.2070000000000001</v>
      </c>
      <c r="F35" s="11">
        <v>0.93600000000000005</v>
      </c>
      <c r="G35" s="40"/>
      <c r="H35" s="41">
        <v>128</v>
      </c>
      <c r="I35" s="41"/>
      <c r="J35" s="41">
        <v>58.68</v>
      </c>
      <c r="K35" s="41">
        <v>26.41</v>
      </c>
      <c r="L35" s="41">
        <v>501.3</v>
      </c>
      <c r="M35" s="41">
        <v>431.3</v>
      </c>
      <c r="N35" s="41"/>
      <c r="O35" s="41"/>
      <c r="P35" s="41">
        <v>138</v>
      </c>
      <c r="Q35" s="41">
        <v>245.9</v>
      </c>
      <c r="R35" s="41">
        <v>21.92</v>
      </c>
      <c r="S35" s="41"/>
      <c r="T35" s="41">
        <v>476.6</v>
      </c>
      <c r="U35" s="41"/>
      <c r="V35" s="41"/>
      <c r="W35" s="41"/>
      <c r="X35" s="41"/>
      <c r="Y35" s="41"/>
      <c r="Z35" s="41"/>
      <c r="AA35" s="41">
        <v>616.6</v>
      </c>
      <c r="AB35" s="41">
        <v>179.25</v>
      </c>
      <c r="AC35" s="41">
        <v>-40.82</v>
      </c>
      <c r="AD35" s="41">
        <v>21.76</v>
      </c>
      <c r="AE35" s="41">
        <v>48.49</v>
      </c>
      <c r="AF35" s="41"/>
      <c r="AG35" s="41">
        <v>64.28</v>
      </c>
      <c r="AH35" s="41">
        <v>2448</v>
      </c>
      <c r="AI35" s="41">
        <v>-27.45</v>
      </c>
      <c r="AJ35" s="41"/>
      <c r="AK35" s="41"/>
      <c r="AL35" s="41"/>
      <c r="AM35" s="59">
        <v>0</v>
      </c>
      <c r="AN35" s="57">
        <v>6.37</v>
      </c>
      <c r="AO35" s="57"/>
      <c r="AP35" s="57"/>
      <c r="AQ35" s="57"/>
      <c r="AR35" s="57"/>
      <c r="AS35" s="57"/>
      <c r="AT35" s="57"/>
      <c r="AU35" s="57"/>
      <c r="AV35" s="57">
        <v>68.55</v>
      </c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7"/>
      <c r="CC35" s="57"/>
      <c r="CD35" s="57"/>
      <c r="CE35" s="57"/>
      <c r="CF35" s="57"/>
      <c r="CG35" s="57"/>
      <c r="CH35" s="57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8"/>
    </row>
    <row r="36" spans="1:120" x14ac:dyDescent="0.3">
      <c r="A36" s="10">
        <v>33</v>
      </c>
      <c r="B36" s="11" t="s">
        <v>39</v>
      </c>
      <c r="C36" s="11">
        <v>15</v>
      </c>
      <c r="D36" s="11" t="s">
        <v>36</v>
      </c>
      <c r="E36" s="11">
        <v>0.97950000000000004</v>
      </c>
      <c r="F36" s="11">
        <v>0.624</v>
      </c>
      <c r="G36" s="40"/>
      <c r="H36" s="41">
        <v>-31.52</v>
      </c>
      <c r="I36" s="41">
        <v>174.6</v>
      </c>
      <c r="J36" s="41">
        <v>-154.19999999999999</v>
      </c>
      <c r="K36" s="41">
        <v>1112</v>
      </c>
      <c r="L36" s="41">
        <v>524.9</v>
      </c>
      <c r="M36" s="41">
        <v>494.7</v>
      </c>
      <c r="N36" s="41">
        <v>79.180000000000007</v>
      </c>
      <c r="O36" s="41"/>
      <c r="P36" s="41">
        <v>-142.6</v>
      </c>
      <c r="Q36" s="41"/>
      <c r="R36" s="41">
        <v>24.37</v>
      </c>
      <c r="S36" s="41">
        <v>-92.26</v>
      </c>
      <c r="T36" s="41">
        <v>736.4</v>
      </c>
      <c r="U36" s="41"/>
      <c r="V36" s="41"/>
      <c r="W36" s="41"/>
      <c r="X36" s="41"/>
      <c r="Y36" s="41">
        <v>-42.71</v>
      </c>
      <c r="Z36" s="41">
        <v>136.9</v>
      </c>
      <c r="AA36" s="41">
        <v>5256</v>
      </c>
      <c r="AB36" s="41">
        <v>-262.3</v>
      </c>
      <c r="AC36" s="41">
        <v>-174.5</v>
      </c>
      <c r="AD36" s="41">
        <v>-46.8</v>
      </c>
      <c r="AE36" s="41">
        <v>77.55</v>
      </c>
      <c r="AF36" s="41">
        <v>-185.3</v>
      </c>
      <c r="AG36" s="41">
        <v>125.3</v>
      </c>
      <c r="AH36" s="41">
        <v>4288</v>
      </c>
      <c r="AI36" s="41"/>
      <c r="AJ36" s="41"/>
      <c r="AK36" s="41"/>
      <c r="AL36" s="41"/>
      <c r="AM36" s="41">
        <v>37.1</v>
      </c>
      <c r="AN36" s="59">
        <v>0</v>
      </c>
      <c r="AO36" s="57"/>
      <c r="AP36" s="57">
        <v>32.9</v>
      </c>
      <c r="AQ36" s="57"/>
      <c r="AR36" s="57">
        <v>-48.33</v>
      </c>
      <c r="AS36" s="57"/>
      <c r="AT36" s="57">
        <v>336.25</v>
      </c>
      <c r="AU36" s="57"/>
      <c r="AV36" s="57">
        <v>-195.1</v>
      </c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7"/>
      <c r="CC36" s="57"/>
      <c r="CD36" s="57"/>
      <c r="CE36" s="57"/>
      <c r="CF36" s="57"/>
      <c r="CG36" s="57"/>
      <c r="CH36" s="57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8"/>
    </row>
    <row r="37" spans="1:120" ht="15.6" x14ac:dyDescent="0.3">
      <c r="A37" s="10">
        <v>34</v>
      </c>
      <c r="B37" s="11" t="s">
        <v>40</v>
      </c>
      <c r="C37" s="11">
        <v>16</v>
      </c>
      <c r="D37" s="11" t="s">
        <v>42</v>
      </c>
      <c r="E37" s="11">
        <v>1.1865000000000001</v>
      </c>
      <c r="F37" s="11">
        <v>0.94</v>
      </c>
      <c r="G37" s="40"/>
      <c r="H37" s="41">
        <v>-72.88</v>
      </c>
      <c r="I37" s="41">
        <v>41.38</v>
      </c>
      <c r="J37" s="41">
        <v>-101.12</v>
      </c>
      <c r="K37" s="41">
        <v>614.52</v>
      </c>
      <c r="L37" s="41">
        <v>68.95</v>
      </c>
      <c r="M37" s="41">
        <v>967.71</v>
      </c>
      <c r="N37" s="41"/>
      <c r="O37" s="41"/>
      <c r="P37" s="41">
        <v>443.61500000000001</v>
      </c>
      <c r="Q37" s="41">
        <v>-55.87</v>
      </c>
      <c r="R37" s="41">
        <v>-111.45</v>
      </c>
      <c r="S37" s="41"/>
      <c r="T37" s="41">
        <v>173.77</v>
      </c>
      <c r="U37" s="41"/>
      <c r="V37" s="41"/>
      <c r="W37" s="41"/>
      <c r="X37" s="41"/>
      <c r="Y37" s="41"/>
      <c r="Z37" s="41">
        <v>329.12</v>
      </c>
      <c r="AA37" s="41"/>
      <c r="AB37" s="41"/>
      <c r="AC37" s="41"/>
      <c r="AD37" s="41"/>
      <c r="AE37" s="41"/>
      <c r="AF37" s="41"/>
      <c r="AG37" s="41">
        <v>174.43299999999999</v>
      </c>
      <c r="AH37" s="41"/>
      <c r="AI37" s="41"/>
      <c r="AJ37" s="41"/>
      <c r="AK37" s="41"/>
      <c r="AL37" s="41"/>
      <c r="AM37" s="41"/>
      <c r="AN37" s="41"/>
      <c r="AO37" s="59">
        <v>0</v>
      </c>
      <c r="AP37" s="57"/>
      <c r="AQ37" s="57"/>
      <c r="AR37" s="57">
        <v>2073.1999999999998</v>
      </c>
      <c r="AS37" s="57"/>
      <c r="AT37" s="57">
        <v>-119.8</v>
      </c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7"/>
      <c r="CC37" s="57"/>
      <c r="CD37" s="57"/>
      <c r="CE37" s="57"/>
      <c r="CF37" s="57"/>
      <c r="CG37" s="57"/>
      <c r="CH37" s="57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8"/>
    </row>
    <row r="38" spans="1:120" ht="15.6" x14ac:dyDescent="0.3">
      <c r="A38" s="10">
        <v>35</v>
      </c>
      <c r="B38" s="11" t="s">
        <v>41</v>
      </c>
      <c r="C38" s="11">
        <v>16</v>
      </c>
      <c r="D38" s="11" t="s">
        <v>42</v>
      </c>
      <c r="E38" s="11">
        <v>0.9597</v>
      </c>
      <c r="F38" s="11">
        <v>0.63200000000000001</v>
      </c>
      <c r="G38" s="40"/>
      <c r="H38" s="41">
        <v>50.49</v>
      </c>
      <c r="I38" s="41">
        <v>64.069999999999993</v>
      </c>
      <c r="J38" s="41">
        <v>-2.504</v>
      </c>
      <c r="K38" s="41">
        <v>-143.19999999999999</v>
      </c>
      <c r="L38" s="41">
        <v>-25.87</v>
      </c>
      <c r="M38" s="41">
        <v>695</v>
      </c>
      <c r="N38" s="41">
        <v>-240</v>
      </c>
      <c r="O38" s="41"/>
      <c r="P38" s="41">
        <v>110.4</v>
      </c>
      <c r="Q38" s="41"/>
      <c r="R38" s="41">
        <v>41.57</v>
      </c>
      <c r="S38" s="41"/>
      <c r="T38" s="41">
        <v>-93.51</v>
      </c>
      <c r="U38" s="41">
        <v>-366.51</v>
      </c>
      <c r="V38" s="41"/>
      <c r="W38" s="41">
        <v>-257.2</v>
      </c>
      <c r="X38" s="41"/>
      <c r="Y38" s="41"/>
      <c r="Z38" s="41"/>
      <c r="AA38" s="41">
        <v>-180.2</v>
      </c>
      <c r="AB38" s="41"/>
      <c r="AC38" s="41">
        <v>-215</v>
      </c>
      <c r="AD38" s="41">
        <v>-343.6</v>
      </c>
      <c r="AE38" s="41">
        <v>-58.43</v>
      </c>
      <c r="AF38" s="41">
        <v>-334.12</v>
      </c>
      <c r="AG38" s="41"/>
      <c r="AH38" s="41"/>
      <c r="AI38" s="41"/>
      <c r="AJ38" s="41">
        <v>85.7</v>
      </c>
      <c r="AK38" s="41"/>
      <c r="AL38" s="41">
        <v>535.79999999999995</v>
      </c>
      <c r="AM38" s="41"/>
      <c r="AN38" s="41">
        <v>-111.2</v>
      </c>
      <c r="AO38" s="41"/>
      <c r="AP38" s="59">
        <v>0</v>
      </c>
      <c r="AQ38" s="57"/>
      <c r="AR38" s="57"/>
      <c r="AS38" s="57"/>
      <c r="AT38" s="57">
        <v>-97.71</v>
      </c>
      <c r="AU38" s="57"/>
      <c r="AV38" s="57">
        <v>153.69999999999999</v>
      </c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7"/>
      <c r="CC38" s="57"/>
      <c r="CD38" s="57"/>
      <c r="CE38" s="57"/>
      <c r="CF38" s="57"/>
      <c r="CG38" s="57"/>
      <c r="CH38" s="57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8"/>
    </row>
    <row r="39" spans="1:120" ht="15.6" x14ac:dyDescent="0.3">
      <c r="A39" s="10">
        <v>36</v>
      </c>
      <c r="B39" s="11" t="s">
        <v>43</v>
      </c>
      <c r="C39" s="11">
        <v>17</v>
      </c>
      <c r="D39" s="11" t="s">
        <v>43</v>
      </c>
      <c r="E39" s="11">
        <v>1.06</v>
      </c>
      <c r="F39" s="11">
        <v>0.81599999999999995</v>
      </c>
      <c r="G39" s="40"/>
      <c r="H39" s="41">
        <v>-165.9</v>
      </c>
      <c r="I39" s="41">
        <v>573</v>
      </c>
      <c r="J39" s="41">
        <v>-123.6</v>
      </c>
      <c r="K39" s="41">
        <v>397.4</v>
      </c>
      <c r="L39" s="41">
        <v>389.3</v>
      </c>
      <c r="M39" s="41">
        <v>218.8</v>
      </c>
      <c r="N39" s="41">
        <v>386.6</v>
      </c>
      <c r="O39" s="41"/>
      <c r="P39" s="41">
        <v>114.55</v>
      </c>
      <c r="Q39" s="41">
        <v>354</v>
      </c>
      <c r="R39" s="41">
        <v>175.53</v>
      </c>
      <c r="S39" s="41"/>
      <c r="T39" s="41"/>
      <c r="U39" s="41"/>
      <c r="V39" s="41"/>
      <c r="W39" s="41"/>
      <c r="X39" s="41"/>
      <c r="Y39" s="41"/>
      <c r="Z39" s="41">
        <v>-42.31</v>
      </c>
      <c r="AA39" s="41"/>
      <c r="AB39" s="41"/>
      <c r="AC39" s="41"/>
      <c r="AD39" s="41"/>
      <c r="AE39" s="41">
        <v>-85.147999999999996</v>
      </c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59">
        <v>0</v>
      </c>
      <c r="AR39" s="57">
        <v>-208.8</v>
      </c>
      <c r="AS39" s="57"/>
      <c r="AT39" s="57">
        <v>-8.8040000000000003</v>
      </c>
      <c r="AU39" s="57"/>
      <c r="AV39" s="57">
        <v>423.4</v>
      </c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7"/>
      <c r="CC39" s="57"/>
      <c r="CD39" s="57"/>
      <c r="CE39" s="57"/>
      <c r="CF39" s="57"/>
      <c r="CG39" s="57"/>
      <c r="CH39" s="57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8"/>
    </row>
    <row r="40" spans="1:120" ht="15.6" x14ac:dyDescent="0.3">
      <c r="A40" s="10">
        <v>37</v>
      </c>
      <c r="B40" s="11" t="s">
        <v>44</v>
      </c>
      <c r="C40" s="11">
        <v>18</v>
      </c>
      <c r="D40" s="11" t="s">
        <v>47</v>
      </c>
      <c r="E40" s="11">
        <v>2.9992999999999999</v>
      </c>
      <c r="F40" s="11">
        <v>2.113</v>
      </c>
      <c r="G40" s="40"/>
      <c r="H40" s="41">
        <v>47.41</v>
      </c>
      <c r="I40" s="41">
        <v>124.2</v>
      </c>
      <c r="J40" s="41">
        <v>395.8</v>
      </c>
      <c r="K40" s="41">
        <v>419.1</v>
      </c>
      <c r="L40" s="41">
        <v>738.9</v>
      </c>
      <c r="M40" s="41">
        <v>528</v>
      </c>
      <c r="N40" s="41"/>
      <c r="O40" s="41"/>
      <c r="P40" s="41">
        <v>-40.9</v>
      </c>
      <c r="Q40" s="41">
        <v>183.8</v>
      </c>
      <c r="R40" s="41">
        <v>611.29999999999995</v>
      </c>
      <c r="S40" s="41">
        <v>134.5</v>
      </c>
      <c r="T40" s="41">
        <v>-217.9</v>
      </c>
      <c r="U40" s="41"/>
      <c r="V40" s="41"/>
      <c r="W40" s="41"/>
      <c r="X40" s="41"/>
      <c r="Y40" s="41">
        <v>281.60000000000002</v>
      </c>
      <c r="Z40" s="41">
        <v>335.2</v>
      </c>
      <c r="AA40" s="41">
        <v>898.2</v>
      </c>
      <c r="AB40" s="41">
        <v>383.2</v>
      </c>
      <c r="AC40" s="41">
        <v>301.89999999999998</v>
      </c>
      <c r="AD40" s="41">
        <v>-149.80000000000001</v>
      </c>
      <c r="AE40" s="41">
        <v>-134.19999999999999</v>
      </c>
      <c r="AF40" s="41"/>
      <c r="AG40" s="41">
        <v>379.4</v>
      </c>
      <c r="AH40" s="41"/>
      <c r="AI40" s="41">
        <v>167.9</v>
      </c>
      <c r="AJ40" s="41"/>
      <c r="AK40" s="41"/>
      <c r="AL40" s="41"/>
      <c r="AM40" s="41"/>
      <c r="AN40" s="41">
        <v>322.42</v>
      </c>
      <c r="AO40" s="41">
        <v>631.5</v>
      </c>
      <c r="AP40" s="41"/>
      <c r="AQ40" s="41">
        <v>837.2</v>
      </c>
      <c r="AR40" s="59">
        <v>0</v>
      </c>
      <c r="AS40" s="57"/>
      <c r="AT40" s="57">
        <v>255</v>
      </c>
      <c r="AU40" s="57"/>
      <c r="AV40" s="57">
        <v>730.8</v>
      </c>
      <c r="AW40" s="57"/>
      <c r="AX40" s="57"/>
      <c r="AY40" s="57">
        <v>26.35</v>
      </c>
      <c r="AZ40" s="57"/>
      <c r="BA40" s="57"/>
      <c r="BB40" s="57"/>
      <c r="BC40" s="57">
        <v>2429</v>
      </c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7"/>
      <c r="CC40" s="57"/>
      <c r="CD40" s="57"/>
      <c r="CE40" s="57"/>
      <c r="CF40" s="57"/>
      <c r="CG40" s="57"/>
      <c r="CH40" s="57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8"/>
    </row>
    <row r="41" spans="1:120" ht="15.6" x14ac:dyDescent="0.3">
      <c r="A41" s="10">
        <v>38</v>
      </c>
      <c r="B41" s="11" t="s">
        <v>45</v>
      </c>
      <c r="C41" s="11">
        <v>18</v>
      </c>
      <c r="D41" s="11" t="s">
        <v>47</v>
      </c>
      <c r="E41" s="11">
        <v>2.8332000000000002</v>
      </c>
      <c r="F41" s="11">
        <v>1.833</v>
      </c>
      <c r="G41" s="40"/>
      <c r="H41" s="41">
        <v>-5.1319999999999997</v>
      </c>
      <c r="I41" s="41">
        <v>-131.69999999999999</v>
      </c>
      <c r="J41" s="41">
        <v>-237.2</v>
      </c>
      <c r="K41" s="41">
        <v>-157.30000000000001</v>
      </c>
      <c r="L41" s="41">
        <v>649.70000000000005</v>
      </c>
      <c r="M41" s="41">
        <v>645.9</v>
      </c>
      <c r="N41" s="41"/>
      <c r="O41" s="41"/>
      <c r="P41" s="41"/>
      <c r="Q41" s="41"/>
      <c r="R41" s="41"/>
      <c r="S41" s="41"/>
      <c r="T41" s="41">
        <v>167.3</v>
      </c>
      <c r="U41" s="41"/>
      <c r="V41" s="41">
        <v>-198.8</v>
      </c>
      <c r="W41" s="41">
        <v>116.47799999999999</v>
      </c>
      <c r="X41" s="41"/>
      <c r="Y41" s="41">
        <v>159.80000000000001</v>
      </c>
      <c r="Z41" s="41"/>
      <c r="AA41" s="41"/>
      <c r="AB41" s="41"/>
      <c r="AC41" s="41"/>
      <c r="AD41" s="41"/>
      <c r="AE41" s="41">
        <v>-124.6</v>
      </c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59">
        <v>0</v>
      </c>
      <c r="AT41" s="57">
        <v>-110.65</v>
      </c>
      <c r="AU41" s="57">
        <v>-117.17</v>
      </c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8"/>
    </row>
    <row r="42" spans="1:120" ht="15.6" x14ac:dyDescent="0.3">
      <c r="A42" s="10">
        <v>39</v>
      </c>
      <c r="B42" s="11" t="s">
        <v>46</v>
      </c>
      <c r="C42" s="11">
        <v>18</v>
      </c>
      <c r="D42" s="11" t="s">
        <v>47</v>
      </c>
      <c r="E42" s="11">
        <v>2.6669999999999998</v>
      </c>
      <c r="F42" s="11">
        <v>1.5529999999999999</v>
      </c>
      <c r="G42" s="40"/>
      <c r="H42" s="41">
        <v>-31.95</v>
      </c>
      <c r="I42" s="41">
        <v>249</v>
      </c>
      <c r="J42" s="41">
        <v>-133.9</v>
      </c>
      <c r="K42" s="41">
        <v>-240.2</v>
      </c>
      <c r="L42" s="41">
        <v>64.16</v>
      </c>
      <c r="M42" s="41">
        <v>172.2</v>
      </c>
      <c r="N42" s="41">
        <v>-287.10000000000002</v>
      </c>
      <c r="O42" s="41"/>
      <c r="P42" s="41">
        <v>97.04</v>
      </c>
      <c r="Q42" s="41">
        <v>13.89</v>
      </c>
      <c r="R42" s="41">
        <v>-82.12</v>
      </c>
      <c r="S42" s="41">
        <v>-116.7</v>
      </c>
      <c r="T42" s="41">
        <v>-158.19999999999999</v>
      </c>
      <c r="U42" s="41">
        <v>49.7</v>
      </c>
      <c r="V42" s="41">
        <v>10.029999999999999</v>
      </c>
      <c r="W42" s="41">
        <v>-185.2</v>
      </c>
      <c r="X42" s="41">
        <v>343.7</v>
      </c>
      <c r="Y42" s="41"/>
      <c r="Z42" s="41">
        <v>150.6</v>
      </c>
      <c r="AA42" s="41">
        <v>-97.77</v>
      </c>
      <c r="AB42" s="41">
        <v>-55.21</v>
      </c>
      <c r="AC42" s="41">
        <v>397.24</v>
      </c>
      <c r="AD42" s="41"/>
      <c r="AE42" s="41">
        <v>-186.7</v>
      </c>
      <c r="AF42" s="41">
        <v>-374.16</v>
      </c>
      <c r="AG42" s="41">
        <v>223.6</v>
      </c>
      <c r="AH42" s="41"/>
      <c r="AI42" s="41"/>
      <c r="AJ42" s="41">
        <v>-71</v>
      </c>
      <c r="AK42" s="41"/>
      <c r="AL42" s="41">
        <v>-191.7</v>
      </c>
      <c r="AM42" s="41"/>
      <c r="AN42" s="41">
        <v>-176.26</v>
      </c>
      <c r="AO42" s="41">
        <v>6.6989999999999998</v>
      </c>
      <c r="AP42" s="41">
        <v>136.6</v>
      </c>
      <c r="AQ42" s="41">
        <v>5.15</v>
      </c>
      <c r="AR42" s="41">
        <v>-137.69999999999999</v>
      </c>
      <c r="AS42" s="41">
        <v>50.06</v>
      </c>
      <c r="AT42" s="59">
        <v>0</v>
      </c>
      <c r="AU42" s="57">
        <v>-5.5789999999999997</v>
      </c>
      <c r="AV42" s="57">
        <v>72.31</v>
      </c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7"/>
      <c r="CC42" s="57"/>
      <c r="CD42" s="57"/>
      <c r="CE42" s="57"/>
      <c r="CF42" s="57"/>
      <c r="CG42" s="57"/>
      <c r="CH42" s="57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8"/>
    </row>
    <row r="43" spans="1:120" ht="15.6" x14ac:dyDescent="0.3">
      <c r="A43" s="10">
        <v>40</v>
      </c>
      <c r="B43" s="11" t="s">
        <v>49</v>
      </c>
      <c r="C43" s="11">
        <v>19</v>
      </c>
      <c r="D43" s="11" t="s">
        <v>48</v>
      </c>
      <c r="E43" s="11">
        <v>1.8701000000000001</v>
      </c>
      <c r="F43" s="11">
        <v>1.724</v>
      </c>
      <c r="G43" s="40"/>
      <c r="H43" s="41">
        <v>147.30000000000001</v>
      </c>
      <c r="I43" s="41">
        <v>62.4</v>
      </c>
      <c r="J43" s="41">
        <v>140.6</v>
      </c>
      <c r="K43" s="41">
        <v>839.83</v>
      </c>
      <c r="L43" s="41"/>
      <c r="M43" s="41"/>
      <c r="N43" s="41"/>
      <c r="O43" s="41"/>
      <c r="P43" s="41"/>
      <c r="Q43" s="41"/>
      <c r="R43" s="41"/>
      <c r="S43" s="41"/>
      <c r="T43" s="41">
        <v>278.14999999999998</v>
      </c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>
        <v>33.950000000000003</v>
      </c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>
        <v>185.6</v>
      </c>
      <c r="AT43" s="41">
        <v>55.8</v>
      </c>
      <c r="AU43" s="59">
        <v>0</v>
      </c>
      <c r="AV43" s="57"/>
      <c r="AW43" s="57"/>
      <c r="AX43" s="57"/>
      <c r="AY43" s="57"/>
      <c r="AZ43" s="57">
        <v>111.8</v>
      </c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7"/>
      <c r="CC43" s="57"/>
      <c r="CD43" s="57"/>
      <c r="CE43" s="57"/>
      <c r="CF43" s="57"/>
      <c r="CG43" s="57"/>
      <c r="CH43" s="57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8"/>
    </row>
    <row r="44" spans="1:120" ht="15.6" x14ac:dyDescent="0.3">
      <c r="A44" s="10">
        <v>41</v>
      </c>
      <c r="B44" s="11" t="s">
        <v>50</v>
      </c>
      <c r="C44" s="11">
        <v>19</v>
      </c>
      <c r="D44" s="11" t="s">
        <v>48</v>
      </c>
      <c r="E44" s="11">
        <v>1.6434</v>
      </c>
      <c r="F44" s="11">
        <v>1.4159999999999999</v>
      </c>
      <c r="G44" s="40"/>
      <c r="H44" s="41">
        <v>529</v>
      </c>
      <c r="I44" s="41">
        <v>1397</v>
      </c>
      <c r="J44" s="41">
        <v>317.60000000000002</v>
      </c>
      <c r="K44" s="41">
        <v>615.79999999999995</v>
      </c>
      <c r="L44" s="41">
        <v>88.63</v>
      </c>
      <c r="M44" s="41">
        <v>171</v>
      </c>
      <c r="N44" s="41">
        <v>284.39999999999998</v>
      </c>
      <c r="O44" s="41">
        <v>-167.3</v>
      </c>
      <c r="P44" s="41">
        <v>123.4</v>
      </c>
      <c r="Q44" s="41">
        <v>577.5</v>
      </c>
      <c r="R44" s="41">
        <v>-234.9</v>
      </c>
      <c r="S44" s="41">
        <v>145.4</v>
      </c>
      <c r="T44" s="41">
        <v>-247.8</v>
      </c>
      <c r="U44" s="41"/>
      <c r="V44" s="41">
        <v>284.5</v>
      </c>
      <c r="W44" s="41"/>
      <c r="X44" s="41">
        <v>-22.1</v>
      </c>
      <c r="Y44" s="41"/>
      <c r="Z44" s="41">
        <v>-61.6</v>
      </c>
      <c r="AA44" s="41">
        <v>1179</v>
      </c>
      <c r="AB44" s="41">
        <v>182.2</v>
      </c>
      <c r="AC44" s="41">
        <v>305.39999999999998</v>
      </c>
      <c r="AD44" s="41">
        <v>-193</v>
      </c>
      <c r="AE44" s="41">
        <v>335.7</v>
      </c>
      <c r="AF44" s="41">
        <v>956.1</v>
      </c>
      <c r="AG44" s="41">
        <v>-124.7</v>
      </c>
      <c r="AH44" s="41"/>
      <c r="AI44" s="41">
        <v>885.5</v>
      </c>
      <c r="AJ44" s="41"/>
      <c r="AK44" s="41">
        <v>-64.28</v>
      </c>
      <c r="AL44" s="41">
        <v>-264.3</v>
      </c>
      <c r="AM44" s="41">
        <v>288.10000000000002</v>
      </c>
      <c r="AN44" s="41">
        <v>627.70000000000005</v>
      </c>
      <c r="AO44" s="41"/>
      <c r="AP44" s="41">
        <v>-29.34</v>
      </c>
      <c r="AQ44" s="41">
        <v>-53.91</v>
      </c>
      <c r="AR44" s="41">
        <v>-198</v>
      </c>
      <c r="AS44" s="41"/>
      <c r="AT44" s="41">
        <v>-28.65</v>
      </c>
      <c r="AU44" s="41"/>
      <c r="AV44" s="59">
        <v>0</v>
      </c>
      <c r="AW44" s="57"/>
      <c r="AX44" s="57"/>
      <c r="AY44" s="57"/>
      <c r="AZ44" s="57"/>
      <c r="BA44" s="57"/>
      <c r="BB44" s="57">
        <v>122.4</v>
      </c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7"/>
      <c r="CC44" s="57"/>
      <c r="CD44" s="57"/>
      <c r="CE44" s="57"/>
      <c r="CF44" s="57"/>
      <c r="CG44" s="57"/>
      <c r="CH44" s="57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8"/>
    </row>
    <row r="45" spans="1:120" x14ac:dyDescent="0.3">
      <c r="A45" s="10">
        <v>42</v>
      </c>
      <c r="B45" s="11" t="s">
        <v>51</v>
      </c>
      <c r="C45" s="11">
        <v>20</v>
      </c>
      <c r="D45" s="11" t="s">
        <v>51</v>
      </c>
      <c r="E45" s="11">
        <v>1.3012999999999999</v>
      </c>
      <c r="F45" s="11">
        <v>1.224</v>
      </c>
      <c r="G45" s="40"/>
      <c r="H45" s="41">
        <v>-34.36</v>
      </c>
      <c r="I45" s="41"/>
      <c r="J45" s="41">
        <v>787.9</v>
      </c>
      <c r="K45" s="41"/>
      <c r="L45" s="41">
        <v>1913</v>
      </c>
      <c r="M45" s="41"/>
      <c r="N45" s="41">
        <v>180.2</v>
      </c>
      <c r="O45" s="41"/>
      <c r="P45" s="41">
        <v>992.4</v>
      </c>
      <c r="Q45" s="41"/>
      <c r="R45" s="41"/>
      <c r="S45" s="41"/>
      <c r="T45" s="41">
        <v>448.5</v>
      </c>
      <c r="U45" s="41">
        <v>961.8</v>
      </c>
      <c r="V45" s="41">
        <v>1464.2</v>
      </c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59">
        <v>0</v>
      </c>
      <c r="AX45" s="57">
        <v>-2166</v>
      </c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7"/>
      <c r="CC45" s="57"/>
      <c r="CD45" s="57"/>
      <c r="CE45" s="57"/>
      <c r="CF45" s="57"/>
      <c r="CG45" s="57"/>
      <c r="CH45" s="57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8"/>
    </row>
    <row r="46" spans="1:120" x14ac:dyDescent="0.3">
      <c r="A46" s="10">
        <v>43</v>
      </c>
      <c r="B46" s="11" t="s">
        <v>52</v>
      </c>
      <c r="C46" s="11">
        <v>20</v>
      </c>
      <c r="D46" s="11" t="s">
        <v>51</v>
      </c>
      <c r="E46" s="11">
        <v>1.528</v>
      </c>
      <c r="F46" s="11">
        <v>1.532</v>
      </c>
      <c r="G46" s="40"/>
      <c r="H46" s="41">
        <v>110.2</v>
      </c>
      <c r="I46" s="41"/>
      <c r="J46" s="41">
        <v>234.4</v>
      </c>
      <c r="K46" s="41"/>
      <c r="L46" s="41">
        <v>430.06</v>
      </c>
      <c r="M46" s="41"/>
      <c r="N46" s="41"/>
      <c r="O46" s="41"/>
      <c r="P46" s="41"/>
      <c r="Q46" s="41"/>
      <c r="R46" s="41"/>
      <c r="S46" s="41"/>
      <c r="T46" s="41"/>
      <c r="U46" s="41">
        <v>-125.2</v>
      </c>
      <c r="V46" s="41">
        <v>1603.8</v>
      </c>
      <c r="W46" s="41"/>
      <c r="X46" s="41"/>
      <c r="Y46" s="41"/>
      <c r="Z46" s="41"/>
      <c r="AA46" s="41"/>
      <c r="AB46" s="41"/>
      <c r="AC46" s="41"/>
      <c r="AD46" s="41"/>
      <c r="AE46" s="41">
        <v>70.81</v>
      </c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>
        <v>745.3</v>
      </c>
      <c r="AX46" s="59">
        <v>0</v>
      </c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7"/>
      <c r="CC46" s="57"/>
      <c r="CD46" s="57"/>
      <c r="CE46" s="57"/>
      <c r="CF46" s="57"/>
      <c r="CG46" s="57"/>
      <c r="CH46" s="57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8"/>
    </row>
    <row r="47" spans="1:120" ht="15.6" x14ac:dyDescent="0.3">
      <c r="A47" s="10">
        <v>44</v>
      </c>
      <c r="B47" s="11" t="s">
        <v>54</v>
      </c>
      <c r="C47" s="11">
        <v>21</v>
      </c>
      <c r="D47" s="11" t="s">
        <v>53</v>
      </c>
      <c r="E47" s="11">
        <v>1.4654</v>
      </c>
      <c r="F47" s="11">
        <v>1.264</v>
      </c>
      <c r="G47" s="40"/>
      <c r="H47" s="41">
        <v>13.89</v>
      </c>
      <c r="I47" s="41">
        <v>-16.11</v>
      </c>
      <c r="J47" s="41">
        <v>-23.88</v>
      </c>
      <c r="K47" s="41">
        <v>6.2140000000000004</v>
      </c>
      <c r="L47" s="41">
        <v>796.9</v>
      </c>
      <c r="M47" s="41"/>
      <c r="N47" s="41">
        <v>832.2</v>
      </c>
      <c r="O47" s="41">
        <v>-234.7</v>
      </c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>
        <v>-196.2</v>
      </c>
      <c r="AE47" s="41"/>
      <c r="AF47" s="41">
        <v>161.5</v>
      </c>
      <c r="AG47" s="41"/>
      <c r="AH47" s="41"/>
      <c r="AI47" s="41"/>
      <c r="AJ47" s="41">
        <v>-274.10000000000002</v>
      </c>
      <c r="AK47" s="41"/>
      <c r="AL47" s="41">
        <v>262</v>
      </c>
      <c r="AM47" s="41"/>
      <c r="AN47" s="41"/>
      <c r="AO47" s="41"/>
      <c r="AP47" s="41"/>
      <c r="AQ47" s="41"/>
      <c r="AR47" s="41">
        <v>-66.31</v>
      </c>
      <c r="AS47" s="41"/>
      <c r="AT47" s="41"/>
      <c r="AU47" s="41"/>
      <c r="AV47" s="41"/>
      <c r="AW47" s="41"/>
      <c r="AX47" s="41"/>
      <c r="AY47" s="59">
        <v>0</v>
      </c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7"/>
      <c r="CC47" s="57"/>
      <c r="CD47" s="57"/>
      <c r="CE47" s="57"/>
      <c r="CF47" s="57"/>
      <c r="CG47" s="57"/>
      <c r="CH47" s="57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8"/>
    </row>
    <row r="48" spans="1:120" x14ac:dyDescent="0.3">
      <c r="A48" s="10">
        <v>45</v>
      </c>
      <c r="B48" s="11" t="s">
        <v>55</v>
      </c>
      <c r="C48" s="11">
        <v>21</v>
      </c>
      <c r="D48" s="11" t="s">
        <v>53</v>
      </c>
      <c r="E48" s="11">
        <v>1.238</v>
      </c>
      <c r="F48" s="11">
        <v>0.95199999999999996</v>
      </c>
      <c r="G48" s="40"/>
      <c r="H48" s="41">
        <v>30.74</v>
      </c>
      <c r="I48" s="41"/>
      <c r="J48" s="41">
        <v>167.9</v>
      </c>
      <c r="K48" s="41"/>
      <c r="L48" s="41">
        <v>794.4</v>
      </c>
      <c r="M48" s="41">
        <v>762.7</v>
      </c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>
        <v>844</v>
      </c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>
        <v>-32.17</v>
      </c>
      <c r="AV48" s="41"/>
      <c r="AW48" s="41"/>
      <c r="AX48" s="41"/>
      <c r="AY48" s="41"/>
      <c r="AZ48" s="59">
        <v>0</v>
      </c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7"/>
      <c r="CC48" s="57"/>
      <c r="CD48" s="57"/>
      <c r="CE48" s="57"/>
      <c r="CF48" s="57"/>
      <c r="CG48" s="57"/>
      <c r="CH48" s="57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8"/>
    </row>
    <row r="49" spans="1:120" x14ac:dyDescent="0.3">
      <c r="A49" s="10">
        <v>46</v>
      </c>
      <c r="B49" s="11" t="s">
        <v>53</v>
      </c>
      <c r="C49" s="11">
        <v>21</v>
      </c>
      <c r="D49" s="11" t="s">
        <v>53</v>
      </c>
      <c r="E49" s="11">
        <v>1.0105999999999999</v>
      </c>
      <c r="F49" s="11">
        <v>0.72399999999999998</v>
      </c>
      <c r="G49" s="40"/>
      <c r="H49" s="41">
        <v>27.97</v>
      </c>
      <c r="I49" s="41">
        <v>9.7550000000000008</v>
      </c>
      <c r="J49" s="41"/>
      <c r="K49" s="41"/>
      <c r="L49" s="41">
        <v>394.8</v>
      </c>
      <c r="M49" s="41"/>
      <c r="N49" s="41">
        <v>-509.3</v>
      </c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>
        <v>-70.25</v>
      </c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59">
        <v>0</v>
      </c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7"/>
      <c r="CC49" s="57"/>
      <c r="CD49" s="57"/>
      <c r="CE49" s="57"/>
      <c r="CF49" s="57"/>
      <c r="CG49" s="57"/>
      <c r="CH49" s="57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8"/>
    </row>
    <row r="50" spans="1:120" ht="15.6" x14ac:dyDescent="0.3">
      <c r="A50" s="10">
        <v>47</v>
      </c>
      <c r="B50" s="11" t="s">
        <v>57</v>
      </c>
      <c r="C50" s="11">
        <v>22</v>
      </c>
      <c r="D50" s="11" t="s">
        <v>56</v>
      </c>
      <c r="E50" s="11">
        <v>2.2564000000000002</v>
      </c>
      <c r="F50" s="11">
        <v>1.988</v>
      </c>
      <c r="G50" s="40"/>
      <c r="H50" s="41">
        <v>-11.92</v>
      </c>
      <c r="I50" s="41">
        <v>132.4</v>
      </c>
      <c r="J50" s="41">
        <v>-86.88</v>
      </c>
      <c r="K50" s="41">
        <v>-19.45</v>
      </c>
      <c r="L50" s="41">
        <v>517.5</v>
      </c>
      <c r="M50" s="41"/>
      <c r="N50" s="41">
        <v>-205.7</v>
      </c>
      <c r="O50" s="41"/>
      <c r="P50" s="41">
        <v>156.4</v>
      </c>
      <c r="Q50" s="41"/>
      <c r="R50" s="41">
        <v>-3.444</v>
      </c>
      <c r="S50" s="41"/>
      <c r="T50" s="41"/>
      <c r="U50" s="41"/>
      <c r="V50" s="41"/>
      <c r="W50" s="41"/>
      <c r="X50" s="41"/>
      <c r="Y50" s="41"/>
      <c r="Z50" s="41">
        <v>119.2</v>
      </c>
      <c r="AA50" s="41"/>
      <c r="AB50" s="41"/>
      <c r="AC50" s="41">
        <v>-194.7</v>
      </c>
      <c r="AD50" s="41"/>
      <c r="AE50" s="41">
        <v>3.1629999999999998</v>
      </c>
      <c r="AF50" s="41">
        <v>7.0819999999999999</v>
      </c>
      <c r="AG50" s="41"/>
      <c r="AH50" s="41"/>
      <c r="AI50" s="41"/>
      <c r="AJ50" s="41"/>
      <c r="AK50" s="41"/>
      <c r="AL50" s="41">
        <v>515.79999999999995</v>
      </c>
      <c r="AM50" s="41"/>
      <c r="AN50" s="41"/>
      <c r="AO50" s="41"/>
      <c r="AP50" s="41"/>
      <c r="AQ50" s="41"/>
      <c r="AR50" s="41"/>
      <c r="AS50" s="41"/>
      <c r="AT50" s="41"/>
      <c r="AU50" s="41"/>
      <c r="AV50" s="41">
        <v>101.2</v>
      </c>
      <c r="AW50" s="41"/>
      <c r="AX50" s="41"/>
      <c r="AY50" s="41"/>
      <c r="AZ50" s="41"/>
      <c r="BA50" s="41"/>
      <c r="BB50" s="59">
        <v>0</v>
      </c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7"/>
      <c r="CC50" s="57"/>
      <c r="CD50" s="57"/>
      <c r="CE50" s="57"/>
      <c r="CF50" s="57"/>
      <c r="CG50" s="57"/>
      <c r="CH50" s="57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8"/>
    </row>
    <row r="51" spans="1:120" ht="15.6" x14ac:dyDescent="0.3">
      <c r="A51" s="10">
        <v>48</v>
      </c>
      <c r="B51" s="11" t="s">
        <v>58</v>
      </c>
      <c r="C51" s="11">
        <v>22</v>
      </c>
      <c r="D51" s="11" t="s">
        <v>56</v>
      </c>
      <c r="E51" s="11">
        <v>2.0606</v>
      </c>
      <c r="F51" s="11">
        <v>1.6839999999999999</v>
      </c>
      <c r="G51" s="40"/>
      <c r="H51" s="41">
        <v>39.93</v>
      </c>
      <c r="I51" s="41">
        <v>543.6</v>
      </c>
      <c r="J51" s="41"/>
      <c r="K51" s="41"/>
      <c r="L51" s="41"/>
      <c r="M51" s="41">
        <v>420</v>
      </c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>
        <v>-363.1</v>
      </c>
      <c r="AE51" s="41">
        <v>-11.3</v>
      </c>
      <c r="AF51" s="41"/>
      <c r="AG51" s="41"/>
      <c r="AH51" s="41"/>
      <c r="AI51" s="41"/>
      <c r="AJ51" s="41">
        <v>6.9710000000000001</v>
      </c>
      <c r="AK51" s="41"/>
      <c r="AL51" s="41"/>
      <c r="AM51" s="41"/>
      <c r="AN51" s="41"/>
      <c r="AO51" s="41"/>
      <c r="AP51" s="41"/>
      <c r="AQ51" s="41"/>
      <c r="AR51" s="41">
        <v>148.9</v>
      </c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59">
        <v>0</v>
      </c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7"/>
      <c r="CC51" s="57"/>
      <c r="CD51" s="57"/>
      <c r="CE51" s="57"/>
      <c r="CF51" s="57"/>
      <c r="CG51" s="57"/>
      <c r="CH51" s="57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8"/>
    </row>
    <row r="52" spans="1:120" ht="15.6" x14ac:dyDescent="0.3">
      <c r="A52" s="10">
        <v>49</v>
      </c>
      <c r="B52" s="11" t="s">
        <v>56</v>
      </c>
      <c r="C52" s="11">
        <v>22</v>
      </c>
      <c r="D52" s="11" t="s">
        <v>56</v>
      </c>
      <c r="E52" s="11">
        <v>1.8016000000000001</v>
      </c>
      <c r="F52" s="11">
        <v>1.448</v>
      </c>
      <c r="G52" s="40"/>
      <c r="H52" s="41">
        <v>-23.61</v>
      </c>
      <c r="I52" s="41">
        <v>161.1</v>
      </c>
      <c r="J52" s="41">
        <v>142.9</v>
      </c>
      <c r="K52" s="41">
        <v>274.10000000000002</v>
      </c>
      <c r="L52" s="41">
        <v>-61.2</v>
      </c>
      <c r="M52" s="41">
        <v>-89.24</v>
      </c>
      <c r="N52" s="41">
        <v>-384.3</v>
      </c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41"/>
      <c r="BB52" s="41"/>
      <c r="BC52" s="41"/>
      <c r="BD52" s="59">
        <v>0</v>
      </c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7"/>
      <c r="CC52" s="57"/>
      <c r="CD52" s="57"/>
      <c r="CE52" s="57"/>
      <c r="CF52" s="57"/>
      <c r="CG52" s="57"/>
      <c r="CH52" s="57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8"/>
    </row>
    <row r="53" spans="1:120" ht="15.6" x14ac:dyDescent="0.3">
      <c r="A53" s="10">
        <v>50</v>
      </c>
      <c r="B53" s="11" t="s">
        <v>60</v>
      </c>
      <c r="C53" s="11">
        <v>23</v>
      </c>
      <c r="D53" s="11" t="s">
        <v>59</v>
      </c>
      <c r="E53" s="11">
        <v>2.87</v>
      </c>
      <c r="F53" s="11">
        <v>2.41</v>
      </c>
      <c r="G53" s="40"/>
      <c r="H53" s="41">
        <v>-8.4789999999999992</v>
      </c>
      <c r="I53" s="41"/>
      <c r="J53" s="41">
        <v>23.93</v>
      </c>
      <c r="K53" s="41">
        <v>2.8450000000000002</v>
      </c>
      <c r="L53" s="41">
        <v>682.5</v>
      </c>
      <c r="M53" s="41">
        <v>597.79999999999995</v>
      </c>
      <c r="N53" s="41"/>
      <c r="O53" s="41">
        <v>810.5</v>
      </c>
      <c r="P53" s="41">
        <v>278.8</v>
      </c>
      <c r="Q53" s="41"/>
      <c r="R53" s="41"/>
      <c r="S53" s="41"/>
      <c r="T53" s="41"/>
      <c r="U53" s="41"/>
      <c r="V53" s="41"/>
      <c r="W53" s="41"/>
      <c r="X53" s="41"/>
      <c r="Y53" s="41">
        <v>221.4</v>
      </c>
      <c r="Z53" s="41"/>
      <c r="AA53" s="41"/>
      <c r="AB53" s="41"/>
      <c r="AC53" s="41"/>
      <c r="AD53" s="41"/>
      <c r="AE53" s="41">
        <v>-79.34</v>
      </c>
      <c r="AF53" s="41"/>
      <c r="AG53" s="41">
        <v>176.3</v>
      </c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41"/>
      <c r="BC53" s="41"/>
      <c r="BD53" s="41"/>
      <c r="BE53" s="59">
        <v>0</v>
      </c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7"/>
      <c r="CC53" s="57"/>
      <c r="CD53" s="57"/>
      <c r="CE53" s="57"/>
      <c r="CF53" s="57"/>
      <c r="CG53" s="57"/>
      <c r="CH53" s="57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8"/>
    </row>
    <row r="54" spans="1:120" ht="15.6" x14ac:dyDescent="0.3">
      <c r="A54" s="10">
        <v>51</v>
      </c>
      <c r="B54" s="11" t="s">
        <v>59</v>
      </c>
      <c r="C54" s="11">
        <v>23</v>
      </c>
      <c r="D54" s="11" t="s">
        <v>59</v>
      </c>
      <c r="E54" s="11">
        <v>2.6400999999999999</v>
      </c>
      <c r="F54" s="11">
        <v>2.1840000000000002</v>
      </c>
      <c r="G54" s="40"/>
      <c r="H54" s="41">
        <v>456.19</v>
      </c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59">
        <v>0</v>
      </c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7"/>
      <c r="CC54" s="57"/>
      <c r="CD54" s="57"/>
      <c r="CE54" s="57"/>
      <c r="CF54" s="57"/>
      <c r="CG54" s="57"/>
      <c r="CH54" s="57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8"/>
    </row>
    <row r="55" spans="1:120" ht="15.6" x14ac:dyDescent="0.3">
      <c r="A55" s="10">
        <v>52</v>
      </c>
      <c r="B55" s="11" t="s">
        <v>61</v>
      </c>
      <c r="C55" s="11">
        <v>24</v>
      </c>
      <c r="D55" s="11" t="s">
        <v>61</v>
      </c>
      <c r="E55" s="11">
        <v>3.39</v>
      </c>
      <c r="F55" s="11">
        <v>2.91</v>
      </c>
      <c r="G55" s="40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41"/>
      <c r="BB55" s="41"/>
      <c r="BC55" s="41"/>
      <c r="BD55" s="41"/>
      <c r="BE55" s="41"/>
      <c r="BF55" s="41"/>
      <c r="BG55" s="59">
        <v>0</v>
      </c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7"/>
      <c r="CC55" s="57"/>
      <c r="CD55" s="57"/>
      <c r="CE55" s="57"/>
      <c r="CF55" s="57"/>
      <c r="CG55" s="57"/>
      <c r="CH55" s="57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8"/>
    </row>
    <row r="56" spans="1:120" x14ac:dyDescent="0.3">
      <c r="A56" s="10">
        <v>53</v>
      </c>
      <c r="B56" s="11" t="s">
        <v>62</v>
      </c>
      <c r="C56" s="11">
        <v>25</v>
      </c>
      <c r="D56" s="11" t="s">
        <v>62</v>
      </c>
      <c r="E56" s="11">
        <v>1.1561999999999999</v>
      </c>
      <c r="F56" s="11">
        <v>0.84399999999999997</v>
      </c>
      <c r="G56" s="40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  <c r="BB56" s="41"/>
      <c r="BC56" s="41"/>
      <c r="BD56" s="41"/>
      <c r="BE56" s="41"/>
      <c r="BF56" s="41"/>
      <c r="BG56" s="41"/>
      <c r="BH56" s="59">
        <v>0</v>
      </c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7"/>
      <c r="CC56" s="57"/>
      <c r="CD56" s="57"/>
      <c r="CE56" s="57"/>
      <c r="CF56" s="57"/>
      <c r="CG56" s="57"/>
      <c r="CH56" s="57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8"/>
    </row>
    <row r="57" spans="1:120" ht="15.6" x14ac:dyDescent="0.3">
      <c r="A57" s="10">
        <v>54</v>
      </c>
      <c r="B57" s="11" t="s">
        <v>64</v>
      </c>
      <c r="C57" s="11">
        <v>26</v>
      </c>
      <c r="D57" s="11" t="s">
        <v>63</v>
      </c>
      <c r="E57" s="11">
        <v>2.0085999999999999</v>
      </c>
      <c r="F57" s="11">
        <v>1.8680000000000001</v>
      </c>
      <c r="G57" s="40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41"/>
      <c r="BC57" s="41"/>
      <c r="BD57" s="41"/>
      <c r="BE57" s="41"/>
      <c r="BF57" s="41"/>
      <c r="BG57" s="41"/>
      <c r="BH57" s="41"/>
      <c r="BI57" s="59">
        <v>0</v>
      </c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7"/>
      <c r="CC57" s="57"/>
      <c r="CD57" s="57"/>
      <c r="CE57" s="57"/>
      <c r="CF57" s="57"/>
      <c r="CG57" s="57"/>
      <c r="CH57" s="57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8"/>
    </row>
    <row r="58" spans="1:120" ht="15.6" x14ac:dyDescent="0.3">
      <c r="A58" s="10">
        <v>55</v>
      </c>
      <c r="B58" s="11" t="s">
        <v>65</v>
      </c>
      <c r="C58" s="11">
        <v>26</v>
      </c>
      <c r="D58" s="11" t="s">
        <v>63</v>
      </c>
      <c r="E58" s="11">
        <v>1.7818000000000001</v>
      </c>
      <c r="F58" s="11">
        <v>1.56</v>
      </c>
      <c r="G58" s="40"/>
      <c r="H58" s="41">
        <v>245.21</v>
      </c>
      <c r="I58" s="41">
        <v>384.45</v>
      </c>
      <c r="J58" s="41">
        <v>47.05</v>
      </c>
      <c r="K58" s="41">
        <v>347.13</v>
      </c>
      <c r="L58" s="41">
        <v>72.19</v>
      </c>
      <c r="M58" s="41">
        <v>265.75</v>
      </c>
      <c r="N58" s="41">
        <v>627.39</v>
      </c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>
        <v>75.040000000000006</v>
      </c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59">
        <v>0</v>
      </c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7"/>
      <c r="CC58" s="57"/>
      <c r="CD58" s="57"/>
      <c r="CE58" s="57"/>
      <c r="CF58" s="57"/>
      <c r="CG58" s="57"/>
      <c r="CH58" s="57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8"/>
    </row>
    <row r="59" spans="1:120" ht="15.6" x14ac:dyDescent="0.3">
      <c r="A59" s="10">
        <v>56</v>
      </c>
      <c r="B59" s="11" t="s">
        <v>66</v>
      </c>
      <c r="C59" s="11">
        <v>26</v>
      </c>
      <c r="D59" s="11" t="s">
        <v>63</v>
      </c>
      <c r="E59" s="11">
        <v>1.5544</v>
      </c>
      <c r="F59" s="11">
        <v>1.248</v>
      </c>
      <c r="G59" s="40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41"/>
      <c r="BB59" s="41"/>
      <c r="BC59" s="41"/>
      <c r="BD59" s="41"/>
      <c r="BE59" s="41"/>
      <c r="BF59" s="41"/>
      <c r="BG59" s="41"/>
      <c r="BH59" s="41"/>
      <c r="BI59" s="41"/>
      <c r="BJ59" s="41"/>
      <c r="BK59" s="59">
        <v>0</v>
      </c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7"/>
      <c r="CC59" s="57"/>
      <c r="CD59" s="57"/>
      <c r="CE59" s="57"/>
      <c r="CF59" s="57"/>
      <c r="CG59" s="57"/>
      <c r="CH59" s="57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8"/>
    </row>
    <row r="60" spans="1:120" ht="15.6" x14ac:dyDescent="0.3">
      <c r="A60" s="10">
        <v>57</v>
      </c>
      <c r="B60" s="11" t="s">
        <v>67</v>
      </c>
      <c r="C60" s="11">
        <v>27</v>
      </c>
      <c r="D60" s="11" t="s">
        <v>67</v>
      </c>
      <c r="E60" s="11">
        <v>1.4198999999999999</v>
      </c>
      <c r="F60" s="11">
        <v>1.1040000000000001</v>
      </c>
      <c r="G60" s="40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  <c r="BB60" s="41"/>
      <c r="BC60" s="41"/>
      <c r="BD60" s="41"/>
      <c r="BE60" s="41"/>
      <c r="BF60" s="41"/>
      <c r="BG60" s="41"/>
      <c r="BH60" s="41"/>
      <c r="BI60" s="41"/>
      <c r="BJ60" s="41"/>
      <c r="BK60" s="41"/>
      <c r="BL60" s="59">
        <v>0</v>
      </c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7"/>
      <c r="CC60" s="57"/>
      <c r="CD60" s="57"/>
      <c r="CE60" s="57"/>
      <c r="CF60" s="57"/>
      <c r="CG60" s="57"/>
      <c r="CH60" s="57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8"/>
    </row>
    <row r="61" spans="1:120" ht="15.6" x14ac:dyDescent="0.3">
      <c r="A61" s="10">
        <v>58</v>
      </c>
      <c r="B61" s="11" t="s">
        <v>68</v>
      </c>
      <c r="C61" s="11">
        <v>28</v>
      </c>
      <c r="D61" s="11" t="s">
        <v>68</v>
      </c>
      <c r="E61" s="11">
        <v>2.0569999999999999</v>
      </c>
      <c r="F61" s="11">
        <v>1.65</v>
      </c>
      <c r="G61" s="40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  <c r="BB61" s="41"/>
      <c r="BC61" s="41"/>
      <c r="BD61" s="41"/>
      <c r="BE61" s="41"/>
      <c r="BF61" s="41"/>
      <c r="BG61" s="41"/>
      <c r="BH61" s="41"/>
      <c r="BI61" s="41"/>
      <c r="BJ61" s="41"/>
      <c r="BK61" s="41"/>
      <c r="BL61" s="41"/>
      <c r="BM61" s="59">
        <v>0</v>
      </c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7"/>
      <c r="CC61" s="57"/>
      <c r="CD61" s="57"/>
      <c r="CE61" s="57"/>
      <c r="CF61" s="57"/>
      <c r="CG61" s="57"/>
      <c r="CH61" s="57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8"/>
    </row>
    <row r="62" spans="1:120" ht="15.6" x14ac:dyDescent="0.3">
      <c r="A62" s="10">
        <v>59</v>
      </c>
      <c r="B62" s="11" t="s">
        <v>69</v>
      </c>
      <c r="C62" s="11">
        <v>29</v>
      </c>
      <c r="D62" s="11" t="s">
        <v>69</v>
      </c>
      <c r="E62" s="11">
        <v>1.877</v>
      </c>
      <c r="F62" s="11">
        <v>1.6759999999999999</v>
      </c>
      <c r="G62" s="40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41"/>
      <c r="BC62" s="41"/>
      <c r="BD62" s="41"/>
      <c r="BE62" s="41"/>
      <c r="BF62" s="41"/>
      <c r="BG62" s="41"/>
      <c r="BH62" s="41"/>
      <c r="BI62" s="41"/>
      <c r="BJ62" s="41"/>
      <c r="BK62" s="41"/>
      <c r="BL62" s="41"/>
      <c r="BM62" s="41"/>
      <c r="BN62" s="59">
        <v>0</v>
      </c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7"/>
      <c r="CC62" s="57"/>
      <c r="CD62" s="57"/>
      <c r="CE62" s="57"/>
      <c r="CF62" s="57"/>
      <c r="CG62" s="57"/>
      <c r="CH62" s="57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8"/>
    </row>
    <row r="63" spans="1:120" ht="15.6" x14ac:dyDescent="0.3">
      <c r="A63" s="10">
        <v>60</v>
      </c>
      <c r="B63" s="11" t="s">
        <v>70</v>
      </c>
      <c r="C63" s="11">
        <v>29</v>
      </c>
      <c r="D63" s="11" t="s">
        <v>69</v>
      </c>
      <c r="E63" s="11">
        <v>1.651</v>
      </c>
      <c r="F63" s="11">
        <v>1.3680000000000001</v>
      </c>
      <c r="G63" s="40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59">
        <v>0</v>
      </c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7"/>
      <c r="CC63" s="57"/>
      <c r="CD63" s="57"/>
      <c r="CE63" s="57"/>
      <c r="CF63" s="57"/>
      <c r="CG63" s="57"/>
      <c r="CH63" s="57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8"/>
    </row>
    <row r="64" spans="1:120" ht="15.6" x14ac:dyDescent="0.3">
      <c r="A64" s="10">
        <v>61</v>
      </c>
      <c r="B64" s="11" t="s">
        <v>72</v>
      </c>
      <c r="C64" s="11">
        <v>30</v>
      </c>
      <c r="D64" s="11" t="s">
        <v>71</v>
      </c>
      <c r="E64" s="11">
        <v>3.1680000000000001</v>
      </c>
      <c r="F64" s="11">
        <v>2.484</v>
      </c>
      <c r="G64" s="40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1"/>
      <c r="BC64" s="41"/>
      <c r="BD64" s="41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59">
        <v>0</v>
      </c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7"/>
      <c r="CC64" s="57"/>
      <c r="CD64" s="57"/>
      <c r="CE64" s="57"/>
      <c r="CF64" s="57"/>
      <c r="CG64" s="57"/>
      <c r="CH64" s="57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8"/>
    </row>
    <row r="65" spans="1:120" x14ac:dyDescent="0.3">
      <c r="A65" s="10">
        <v>62</v>
      </c>
      <c r="B65" s="11" t="s">
        <v>73</v>
      </c>
      <c r="C65" s="11">
        <v>31</v>
      </c>
      <c r="D65" s="11" t="s">
        <v>73</v>
      </c>
      <c r="E65" s="11">
        <v>2.4087999999999998</v>
      </c>
      <c r="F65" s="11">
        <v>2.2480000000000002</v>
      </c>
      <c r="G65" s="40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59">
        <v>0</v>
      </c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7"/>
      <c r="CC65" s="57"/>
      <c r="CD65" s="57"/>
      <c r="CE65" s="57"/>
      <c r="CF65" s="57"/>
      <c r="CG65" s="57"/>
      <c r="CH65" s="57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8"/>
    </row>
    <row r="66" spans="1:120" x14ac:dyDescent="0.3">
      <c r="A66" s="10">
        <v>63</v>
      </c>
      <c r="B66" s="11" t="s">
        <v>74</v>
      </c>
      <c r="C66" s="11">
        <v>32</v>
      </c>
      <c r="D66" s="11" t="s">
        <v>74</v>
      </c>
      <c r="E66" s="11">
        <v>1.264</v>
      </c>
      <c r="F66" s="11">
        <v>0.99199999999999999</v>
      </c>
      <c r="G66" s="40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D66" s="41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1"/>
      <c r="BR66" s="59">
        <v>0</v>
      </c>
      <c r="BS66" s="57"/>
      <c r="BT66" s="57"/>
      <c r="BU66" s="57"/>
      <c r="BV66" s="57"/>
      <c r="BW66" s="57"/>
      <c r="BX66" s="57"/>
      <c r="BY66" s="57"/>
      <c r="BZ66" s="57"/>
      <c r="CA66" s="57"/>
      <c r="CB66" s="57"/>
      <c r="CC66" s="57"/>
      <c r="CD66" s="57"/>
      <c r="CE66" s="57"/>
      <c r="CF66" s="57"/>
      <c r="CG66" s="57"/>
      <c r="CH66" s="57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8"/>
    </row>
    <row r="67" spans="1:120" x14ac:dyDescent="0.3">
      <c r="A67" s="10">
        <v>64</v>
      </c>
      <c r="B67" s="11" t="s">
        <v>75</v>
      </c>
      <c r="C67" s="11">
        <v>33</v>
      </c>
      <c r="D67" s="11" t="s">
        <v>75</v>
      </c>
      <c r="E67" s="11">
        <v>0.94920000000000004</v>
      </c>
      <c r="F67" s="11">
        <v>0.83199999999999996</v>
      </c>
      <c r="G67" s="40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1"/>
      <c r="BC67" s="41"/>
      <c r="BD67" s="41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1"/>
      <c r="BR67" s="41"/>
      <c r="BS67" s="59">
        <v>0</v>
      </c>
      <c r="BT67" s="57"/>
      <c r="BU67" s="57"/>
      <c r="BV67" s="57"/>
      <c r="BW67" s="57"/>
      <c r="BX67" s="57"/>
      <c r="BY67" s="57"/>
      <c r="BZ67" s="57"/>
      <c r="CA67" s="57"/>
      <c r="CB67" s="57"/>
      <c r="CC67" s="57"/>
      <c r="CD67" s="57"/>
      <c r="CE67" s="57"/>
      <c r="CF67" s="57"/>
      <c r="CG67" s="57"/>
      <c r="CH67" s="57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8"/>
    </row>
    <row r="68" spans="1:120" x14ac:dyDescent="0.3">
      <c r="A68" s="10">
        <v>65</v>
      </c>
      <c r="B68" s="11" t="s">
        <v>80</v>
      </c>
      <c r="C68" s="11">
        <v>34</v>
      </c>
      <c r="D68" s="11" t="s">
        <v>81</v>
      </c>
      <c r="E68" s="11">
        <v>1.292</v>
      </c>
      <c r="F68" s="11">
        <v>1.0880000000000001</v>
      </c>
      <c r="G68" s="40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1"/>
      <c r="BR68" s="41"/>
      <c r="BS68" s="41"/>
      <c r="BT68" s="59">
        <v>0</v>
      </c>
      <c r="BU68" s="57"/>
      <c r="BV68" s="57"/>
      <c r="BW68" s="57"/>
      <c r="BX68" s="57"/>
      <c r="BY68" s="57"/>
      <c r="BZ68" s="57"/>
      <c r="CA68" s="57"/>
      <c r="CB68" s="57"/>
      <c r="CC68" s="57"/>
      <c r="CD68" s="57"/>
      <c r="CE68" s="57"/>
      <c r="CF68" s="57"/>
      <c r="CG68" s="57"/>
      <c r="CH68" s="57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8"/>
    </row>
    <row r="69" spans="1:120" x14ac:dyDescent="0.3">
      <c r="A69" s="10">
        <v>66</v>
      </c>
      <c r="B69" s="11" t="s">
        <v>81</v>
      </c>
      <c r="C69" s="11">
        <v>34</v>
      </c>
      <c r="D69" s="11" t="s">
        <v>81</v>
      </c>
      <c r="E69" s="11">
        <v>1.0612999999999999</v>
      </c>
      <c r="F69" s="11">
        <v>0.78400000000000003</v>
      </c>
      <c r="G69" s="40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1"/>
      <c r="BC69" s="41"/>
      <c r="BD69" s="41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1"/>
      <c r="BR69" s="41"/>
      <c r="BS69" s="41"/>
      <c r="BT69" s="41"/>
      <c r="BU69" s="59">
        <v>0</v>
      </c>
      <c r="BV69" s="57"/>
      <c r="BW69" s="57"/>
      <c r="BX69" s="57"/>
      <c r="BY69" s="57"/>
      <c r="BZ69" s="57"/>
      <c r="CA69" s="57"/>
      <c r="CB69" s="57"/>
      <c r="CC69" s="57"/>
      <c r="CD69" s="57"/>
      <c r="CE69" s="57"/>
      <c r="CF69" s="57"/>
      <c r="CG69" s="57"/>
      <c r="CH69" s="57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8"/>
    </row>
    <row r="70" spans="1:120" x14ac:dyDescent="0.3">
      <c r="A70" s="10">
        <v>67</v>
      </c>
      <c r="B70" s="11" t="s">
        <v>76</v>
      </c>
      <c r="C70" s="11">
        <v>35</v>
      </c>
      <c r="D70" s="11" t="s">
        <v>76</v>
      </c>
      <c r="E70" s="11">
        <v>2.8266</v>
      </c>
      <c r="F70" s="11">
        <v>2.472</v>
      </c>
      <c r="G70" s="40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1"/>
      <c r="BC70" s="41"/>
      <c r="BD70" s="41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1"/>
      <c r="BR70" s="41"/>
      <c r="BS70" s="41"/>
      <c r="BT70" s="41"/>
      <c r="BU70" s="41"/>
      <c r="BV70" s="59">
        <v>0</v>
      </c>
      <c r="BW70" s="57"/>
      <c r="BX70" s="57"/>
      <c r="BY70" s="57"/>
      <c r="BZ70" s="57"/>
      <c r="CA70" s="57"/>
      <c r="CB70" s="57"/>
      <c r="CC70" s="57"/>
      <c r="CD70" s="57"/>
      <c r="CE70" s="57"/>
      <c r="CF70" s="57"/>
      <c r="CG70" s="57"/>
      <c r="CH70" s="57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8"/>
    </row>
    <row r="71" spans="1:120" x14ac:dyDescent="0.3">
      <c r="A71" s="10">
        <v>68</v>
      </c>
      <c r="B71" s="11" t="s">
        <v>77</v>
      </c>
      <c r="C71" s="11">
        <v>36</v>
      </c>
      <c r="D71" s="11" t="s">
        <v>77</v>
      </c>
      <c r="E71" s="11">
        <v>2.3144</v>
      </c>
      <c r="F71" s="11">
        <v>2.052</v>
      </c>
      <c r="G71" s="40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41"/>
      <c r="BC71" s="41"/>
      <c r="BD71" s="41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1"/>
      <c r="BR71" s="41"/>
      <c r="BS71" s="41"/>
      <c r="BT71" s="41"/>
      <c r="BU71" s="41"/>
      <c r="BV71" s="41"/>
      <c r="BW71" s="59">
        <v>0</v>
      </c>
      <c r="BX71" s="57"/>
      <c r="BY71" s="57"/>
      <c r="BZ71" s="57"/>
      <c r="CA71" s="57"/>
      <c r="CB71" s="57"/>
      <c r="CC71" s="57"/>
      <c r="CD71" s="57"/>
      <c r="CE71" s="57"/>
      <c r="CF71" s="57"/>
      <c r="CG71" s="57"/>
      <c r="CH71" s="57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8"/>
    </row>
    <row r="72" spans="1:120" x14ac:dyDescent="0.3">
      <c r="A72" s="10">
        <v>69</v>
      </c>
      <c r="B72" s="11" t="s">
        <v>79</v>
      </c>
      <c r="C72" s="11">
        <v>37</v>
      </c>
      <c r="D72" s="11" t="s">
        <v>78</v>
      </c>
      <c r="E72" s="11">
        <v>0.79100000000000004</v>
      </c>
      <c r="F72" s="11">
        <v>0.72399999999999998</v>
      </c>
      <c r="G72" s="40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1"/>
      <c r="BC72" s="41"/>
      <c r="BD72" s="41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1"/>
      <c r="BR72" s="41"/>
      <c r="BS72" s="41"/>
      <c r="BT72" s="41"/>
      <c r="BU72" s="41"/>
      <c r="BV72" s="41"/>
      <c r="BW72" s="41"/>
      <c r="BX72" s="59">
        <v>0</v>
      </c>
      <c r="BY72" s="57"/>
      <c r="BZ72" s="57"/>
      <c r="CA72" s="57"/>
      <c r="CB72" s="57"/>
      <c r="CC72" s="57"/>
      <c r="CD72" s="57"/>
      <c r="CE72" s="57"/>
      <c r="CF72" s="57"/>
      <c r="CG72" s="57"/>
      <c r="CH72" s="57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8"/>
    </row>
    <row r="73" spans="1:120" x14ac:dyDescent="0.3">
      <c r="A73" s="10">
        <v>70</v>
      </c>
      <c r="B73" s="11" t="s">
        <v>82</v>
      </c>
      <c r="C73" s="11">
        <v>2</v>
      </c>
      <c r="D73" s="11" t="s">
        <v>82</v>
      </c>
      <c r="E73" s="11">
        <v>0.66049999999999998</v>
      </c>
      <c r="F73" s="11">
        <v>0.48499999999999999</v>
      </c>
      <c r="G73" s="40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  <c r="BB73" s="41"/>
      <c r="BC73" s="41"/>
      <c r="BD73" s="41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1"/>
      <c r="BR73" s="41"/>
      <c r="BS73" s="41"/>
      <c r="BT73" s="41"/>
      <c r="BU73" s="41"/>
      <c r="BV73" s="41"/>
      <c r="BW73" s="41"/>
      <c r="BX73" s="41"/>
      <c r="BY73" s="59">
        <v>0</v>
      </c>
      <c r="BZ73" s="57"/>
      <c r="CA73" s="57"/>
      <c r="CB73" s="57"/>
      <c r="CC73" s="57"/>
      <c r="CD73" s="57"/>
      <c r="CE73" s="57"/>
      <c r="CF73" s="57"/>
      <c r="CG73" s="57"/>
      <c r="CH73" s="57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8"/>
    </row>
    <row r="74" spans="1:120" x14ac:dyDescent="0.3">
      <c r="A74" s="10">
        <v>71</v>
      </c>
      <c r="B74" s="11" t="s">
        <v>83</v>
      </c>
      <c r="C74" s="11">
        <v>38</v>
      </c>
      <c r="D74" s="11" t="s">
        <v>83</v>
      </c>
      <c r="E74" s="11">
        <v>0.69479999999999997</v>
      </c>
      <c r="F74" s="11">
        <v>0.52400000000000002</v>
      </c>
      <c r="G74" s="40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59">
        <v>0</v>
      </c>
      <c r="CA74" s="57"/>
      <c r="CB74" s="57"/>
      <c r="CC74" s="57"/>
      <c r="CD74" s="57"/>
      <c r="CE74" s="57"/>
      <c r="CF74" s="57"/>
      <c r="CG74" s="57"/>
      <c r="CH74" s="57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8"/>
    </row>
    <row r="75" spans="1:120" ht="15.6" x14ac:dyDescent="0.3">
      <c r="A75" s="10">
        <v>72</v>
      </c>
      <c r="B75" s="11" t="s">
        <v>85</v>
      </c>
      <c r="C75" s="11">
        <v>39</v>
      </c>
      <c r="D75" s="11" t="s">
        <v>84</v>
      </c>
      <c r="E75" s="11">
        <v>3.0855999999999999</v>
      </c>
      <c r="F75" s="11">
        <v>2.7360000000000002</v>
      </c>
      <c r="G75" s="40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1"/>
      <c r="BR75" s="41"/>
      <c r="BS75" s="41"/>
      <c r="BT75" s="41"/>
      <c r="BU75" s="41"/>
      <c r="BV75" s="41"/>
      <c r="BW75" s="41"/>
      <c r="BX75" s="41"/>
      <c r="BY75" s="41"/>
      <c r="BZ75" s="41"/>
      <c r="CA75" s="59">
        <v>0</v>
      </c>
      <c r="CB75" s="57"/>
      <c r="CC75" s="57"/>
      <c r="CD75" s="57"/>
      <c r="CE75" s="57"/>
      <c r="CF75" s="57"/>
      <c r="CG75" s="57"/>
      <c r="CH75" s="57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8"/>
    </row>
    <row r="76" spans="1:120" x14ac:dyDescent="0.3">
      <c r="A76" s="10">
        <v>73</v>
      </c>
      <c r="B76" s="11" t="s">
        <v>86</v>
      </c>
      <c r="C76" s="11">
        <v>39</v>
      </c>
      <c r="D76" s="11" t="s">
        <v>84</v>
      </c>
      <c r="E76" s="11">
        <v>2.6322000000000001</v>
      </c>
      <c r="F76" s="11">
        <v>2.12</v>
      </c>
      <c r="G76" s="40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1"/>
      <c r="BC76" s="41"/>
      <c r="BD76" s="41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1"/>
      <c r="BR76" s="41"/>
      <c r="BS76" s="41"/>
      <c r="BT76" s="41"/>
      <c r="BU76" s="41"/>
      <c r="BV76" s="41"/>
      <c r="BW76" s="41"/>
      <c r="BX76" s="41"/>
      <c r="BY76" s="41"/>
      <c r="BZ76" s="41"/>
      <c r="CA76" s="41"/>
      <c r="CB76" s="59">
        <v>0</v>
      </c>
      <c r="CC76" s="57"/>
      <c r="CD76" s="57"/>
      <c r="CE76" s="57"/>
      <c r="CF76" s="57"/>
      <c r="CG76" s="57"/>
      <c r="CH76" s="57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8"/>
    </row>
    <row r="77" spans="1:120" ht="15.6" x14ac:dyDescent="0.3">
      <c r="A77" s="10">
        <v>74</v>
      </c>
      <c r="B77" s="11" t="s">
        <v>87</v>
      </c>
      <c r="C77" s="11">
        <v>40</v>
      </c>
      <c r="D77" s="11" t="s">
        <v>88</v>
      </c>
      <c r="E77" s="11">
        <v>1.4059999999999999</v>
      </c>
      <c r="F77" s="11">
        <v>1.38</v>
      </c>
      <c r="G77" s="40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1"/>
      <c r="BR77" s="41"/>
      <c r="BS77" s="41"/>
      <c r="BT77" s="41"/>
      <c r="BU77" s="41"/>
      <c r="BV77" s="41"/>
      <c r="BW77" s="41"/>
      <c r="BX77" s="41"/>
      <c r="BY77" s="41"/>
      <c r="BZ77" s="41"/>
      <c r="CA77" s="41"/>
      <c r="CB77" s="41"/>
      <c r="CC77" s="59">
        <v>0</v>
      </c>
      <c r="CD77" s="57"/>
      <c r="CE77" s="57"/>
      <c r="CF77" s="57"/>
      <c r="CG77" s="57"/>
      <c r="CH77" s="57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8"/>
    </row>
    <row r="78" spans="1:120" ht="15.6" x14ac:dyDescent="0.3">
      <c r="A78" s="10">
        <v>75</v>
      </c>
      <c r="B78" s="11" t="s">
        <v>88</v>
      </c>
      <c r="C78" s="11">
        <v>40</v>
      </c>
      <c r="D78" s="11" t="s">
        <v>88</v>
      </c>
      <c r="E78" s="11">
        <v>1.0105</v>
      </c>
      <c r="F78" s="11">
        <v>0.92</v>
      </c>
      <c r="G78" s="40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>
        <v>84</v>
      </c>
      <c r="AZ78" s="41">
        <v>85</v>
      </c>
      <c r="BA78" s="41">
        <v>1517.5</v>
      </c>
      <c r="BB78" s="41">
        <v>-1869.9</v>
      </c>
      <c r="BC78" s="41"/>
      <c r="BD78" s="41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  <c r="CA78" s="41"/>
      <c r="CB78" s="41"/>
      <c r="CC78" s="41"/>
      <c r="CD78" s="59">
        <v>0</v>
      </c>
      <c r="CE78" s="57"/>
      <c r="CF78" s="57"/>
      <c r="CG78" s="57"/>
      <c r="CH78" s="57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8"/>
    </row>
    <row r="79" spans="1:120" ht="15.6" x14ac:dyDescent="0.3">
      <c r="A79" s="10">
        <v>76</v>
      </c>
      <c r="B79" s="11" t="s">
        <v>89</v>
      </c>
      <c r="C79" s="11">
        <v>40</v>
      </c>
      <c r="D79" s="11" t="s">
        <v>88</v>
      </c>
      <c r="E79" s="11">
        <v>0.61499999999999999</v>
      </c>
      <c r="F79" s="11">
        <v>0.46</v>
      </c>
      <c r="G79" s="40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1"/>
      <c r="BR79" s="41"/>
      <c r="BS79" s="41"/>
      <c r="BT79" s="41"/>
      <c r="BU79" s="41"/>
      <c r="BV79" s="41"/>
      <c r="BW79" s="41"/>
      <c r="BX79" s="41"/>
      <c r="BY79" s="41"/>
      <c r="BZ79" s="41"/>
      <c r="CA79" s="41"/>
      <c r="CB79" s="41"/>
      <c r="CC79" s="41"/>
      <c r="CD79" s="41"/>
      <c r="CE79" s="59">
        <v>0</v>
      </c>
      <c r="CF79" s="57"/>
      <c r="CG79" s="57"/>
      <c r="CH79" s="57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8"/>
    </row>
    <row r="80" spans="1:120" x14ac:dyDescent="0.3">
      <c r="A80" s="10">
        <v>77</v>
      </c>
      <c r="B80" s="11" t="s">
        <v>90</v>
      </c>
      <c r="C80" s="11">
        <v>41</v>
      </c>
      <c r="D80" s="11" t="s">
        <v>90</v>
      </c>
      <c r="E80" s="11">
        <v>1.38</v>
      </c>
      <c r="F80" s="11">
        <v>1.2</v>
      </c>
      <c r="G80" s="40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1"/>
      <c r="BR80" s="41"/>
      <c r="BS80" s="41"/>
      <c r="BT80" s="41"/>
      <c r="BU80" s="41"/>
      <c r="BV80" s="41"/>
      <c r="BW80" s="41"/>
      <c r="BX80" s="41"/>
      <c r="BY80" s="41"/>
      <c r="BZ80" s="41"/>
      <c r="CA80" s="41"/>
      <c r="CB80" s="41"/>
      <c r="CC80" s="41"/>
      <c r="CD80" s="41"/>
      <c r="CE80" s="41"/>
      <c r="CF80" s="59">
        <v>0</v>
      </c>
      <c r="CG80" s="57"/>
      <c r="CH80" s="57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8"/>
    </row>
    <row r="81" spans="1:120" ht="15.6" x14ac:dyDescent="0.3">
      <c r="A81" s="10">
        <v>78</v>
      </c>
      <c r="B81" s="11" t="s">
        <v>94</v>
      </c>
      <c r="C81" s="11">
        <v>42</v>
      </c>
      <c r="D81" s="11" t="s">
        <v>91</v>
      </c>
      <c r="E81" s="11">
        <v>1.6034999999999999</v>
      </c>
      <c r="F81" s="11">
        <v>1.2632000000000001</v>
      </c>
      <c r="G81" s="40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1"/>
      <c r="BR81" s="41"/>
      <c r="BS81" s="41"/>
      <c r="BT81" s="41"/>
      <c r="BU81" s="41"/>
      <c r="BV81" s="41"/>
      <c r="BW81" s="41"/>
      <c r="BX81" s="41"/>
      <c r="BY81" s="41"/>
      <c r="BZ81" s="41"/>
      <c r="CA81" s="41"/>
      <c r="CB81" s="41"/>
      <c r="CC81" s="41"/>
      <c r="CD81" s="41"/>
      <c r="CE81" s="41"/>
      <c r="CF81" s="41"/>
      <c r="CG81" s="59">
        <v>0</v>
      </c>
      <c r="CH81" s="57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8"/>
    </row>
    <row r="82" spans="1:120" ht="15.6" x14ac:dyDescent="0.3">
      <c r="A82" s="10">
        <v>79</v>
      </c>
      <c r="B82" s="11" t="s">
        <v>91</v>
      </c>
      <c r="C82" s="11">
        <v>42</v>
      </c>
      <c r="D82" s="11" t="s">
        <v>91</v>
      </c>
      <c r="E82" s="11">
        <v>1.4442999999999999</v>
      </c>
      <c r="F82" s="11">
        <v>1.0063</v>
      </c>
      <c r="G82" s="40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  <c r="CA82" s="41"/>
      <c r="CB82" s="41"/>
      <c r="CC82" s="41"/>
      <c r="CD82" s="41"/>
      <c r="CE82" s="41"/>
      <c r="CF82" s="41"/>
      <c r="CG82" s="41"/>
      <c r="CH82" s="59">
        <v>0</v>
      </c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8"/>
    </row>
    <row r="83" spans="1:120" ht="15.6" x14ac:dyDescent="0.3">
      <c r="A83" s="10">
        <v>80</v>
      </c>
      <c r="B83" s="11" t="s">
        <v>92</v>
      </c>
      <c r="C83" s="11">
        <v>42</v>
      </c>
      <c r="D83" s="11" t="s">
        <v>91</v>
      </c>
      <c r="E83" s="11">
        <v>1.2853000000000001</v>
      </c>
      <c r="F83" s="11">
        <v>0.74939999999999996</v>
      </c>
      <c r="G83" s="40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  <c r="CA83" s="41"/>
      <c r="CB83" s="41"/>
      <c r="CC83" s="41"/>
      <c r="CD83" s="41"/>
      <c r="CE83" s="41"/>
      <c r="CF83" s="41"/>
      <c r="CG83" s="41"/>
      <c r="CH83" s="41"/>
      <c r="CI83" s="59">
        <v>0</v>
      </c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8"/>
    </row>
    <row r="84" spans="1:120" ht="15.6" x14ac:dyDescent="0.3">
      <c r="A84" s="10">
        <v>81</v>
      </c>
      <c r="B84" s="11" t="s">
        <v>93</v>
      </c>
      <c r="C84" s="11">
        <v>42</v>
      </c>
      <c r="D84" s="11" t="s">
        <v>91</v>
      </c>
      <c r="E84" s="11">
        <v>1.0469999999999999</v>
      </c>
      <c r="F84" s="11">
        <v>0.40989999999999999</v>
      </c>
      <c r="G84" s="40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  <c r="CA84" s="41"/>
      <c r="CB84" s="41"/>
      <c r="CC84" s="41"/>
      <c r="CD84" s="41"/>
      <c r="CE84" s="41"/>
      <c r="CF84" s="41"/>
      <c r="CG84" s="41"/>
      <c r="CH84" s="41"/>
      <c r="CI84" s="41"/>
      <c r="CJ84" s="59">
        <v>0</v>
      </c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8"/>
    </row>
    <row r="85" spans="1:120" ht="15.6" x14ac:dyDescent="0.3">
      <c r="A85" s="10">
        <v>82</v>
      </c>
      <c r="B85" s="11" t="s">
        <v>96</v>
      </c>
      <c r="C85" s="11">
        <v>43</v>
      </c>
      <c r="D85" s="11" t="s">
        <v>95</v>
      </c>
      <c r="E85" s="11">
        <v>1.4838</v>
      </c>
      <c r="F85" s="11">
        <v>1.0621</v>
      </c>
      <c r="G85" s="40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1"/>
      <c r="BR85" s="41"/>
      <c r="BS85" s="41"/>
      <c r="BT85" s="41"/>
      <c r="BU85" s="41"/>
      <c r="BV85" s="41"/>
      <c r="BW85" s="41"/>
      <c r="BX85" s="41"/>
      <c r="BY85" s="41"/>
      <c r="BZ85" s="41"/>
      <c r="CA85" s="41"/>
      <c r="CB85" s="41"/>
      <c r="CC85" s="41"/>
      <c r="CD85" s="41"/>
      <c r="CE85" s="41"/>
      <c r="CF85" s="41"/>
      <c r="CG85" s="41"/>
      <c r="CH85" s="41"/>
      <c r="CI85" s="41"/>
      <c r="CJ85" s="41"/>
      <c r="CK85" s="59">
        <v>0</v>
      </c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8"/>
    </row>
    <row r="86" spans="1:120" x14ac:dyDescent="0.3">
      <c r="A86" s="10">
        <v>83</v>
      </c>
      <c r="B86" s="11" t="s">
        <v>97</v>
      </c>
      <c r="C86" s="11">
        <v>43</v>
      </c>
      <c r="D86" s="11" t="s">
        <v>95</v>
      </c>
      <c r="E86" s="11">
        <v>1.3029999999999999</v>
      </c>
      <c r="F86" s="11">
        <v>0.76390000000000002</v>
      </c>
      <c r="G86" s="40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1"/>
      <c r="BR86" s="41"/>
      <c r="BS86" s="41"/>
      <c r="BT86" s="41"/>
      <c r="BU86" s="41"/>
      <c r="BV86" s="41"/>
      <c r="BW86" s="41"/>
      <c r="BX86" s="41"/>
      <c r="BY86" s="41"/>
      <c r="BZ86" s="41"/>
      <c r="CA86" s="41"/>
      <c r="CB86" s="41"/>
      <c r="CC86" s="41"/>
      <c r="CD86" s="41"/>
      <c r="CE86" s="41"/>
      <c r="CF86" s="41"/>
      <c r="CG86" s="41"/>
      <c r="CH86" s="41"/>
      <c r="CI86" s="41"/>
      <c r="CJ86" s="41"/>
      <c r="CK86" s="41"/>
      <c r="CL86" s="59">
        <v>0</v>
      </c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8"/>
    </row>
    <row r="87" spans="1:120" x14ac:dyDescent="0.3">
      <c r="A87" s="10">
        <v>84</v>
      </c>
      <c r="B87" s="11" t="s">
        <v>95</v>
      </c>
      <c r="C87" s="11">
        <v>43</v>
      </c>
      <c r="D87" s="11" t="s">
        <v>95</v>
      </c>
      <c r="E87" s="11">
        <v>1.1044</v>
      </c>
      <c r="F87" s="11">
        <v>0.4657</v>
      </c>
      <c r="G87" s="40"/>
      <c r="H87" s="41">
        <v>125.36</v>
      </c>
      <c r="I87" s="41">
        <v>-391.81</v>
      </c>
      <c r="J87" s="41"/>
      <c r="K87" s="41"/>
      <c r="L87" s="41">
        <v>111.65</v>
      </c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  <c r="BB87" s="41"/>
      <c r="BC87" s="41"/>
      <c r="BD87" s="41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1"/>
      <c r="BR87" s="41"/>
      <c r="BS87" s="41"/>
      <c r="BT87" s="41"/>
      <c r="BU87" s="41"/>
      <c r="BV87" s="41"/>
      <c r="BW87" s="41"/>
      <c r="BX87" s="41"/>
      <c r="BY87" s="41"/>
      <c r="BZ87" s="41"/>
      <c r="CA87" s="41"/>
      <c r="CB87" s="41"/>
      <c r="CC87" s="41"/>
      <c r="CD87" s="41"/>
      <c r="CE87" s="41"/>
      <c r="CF87" s="41"/>
      <c r="CG87" s="41"/>
      <c r="CH87" s="41"/>
      <c r="CI87" s="41"/>
      <c r="CJ87" s="41"/>
      <c r="CK87" s="41"/>
      <c r="CL87" s="41"/>
      <c r="CM87" s="59">
        <v>0</v>
      </c>
      <c r="CN87" s="57">
        <v>1517.5</v>
      </c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8"/>
    </row>
    <row r="88" spans="1:120" x14ac:dyDescent="0.3">
      <c r="A88" s="10">
        <v>85</v>
      </c>
      <c r="B88" s="11" t="s">
        <v>98</v>
      </c>
      <c r="C88" s="11">
        <v>44</v>
      </c>
      <c r="D88" s="11" t="s">
        <v>98</v>
      </c>
      <c r="E88" s="11">
        <v>3.9809999999999999</v>
      </c>
      <c r="F88" s="11">
        <v>3.2</v>
      </c>
      <c r="G88" s="40"/>
      <c r="H88" s="41">
        <v>221.56</v>
      </c>
      <c r="I88" s="41">
        <v>629.96</v>
      </c>
      <c r="J88" s="41"/>
      <c r="K88" s="41"/>
      <c r="L88" s="41">
        <v>122.19</v>
      </c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41"/>
      <c r="BB88" s="41"/>
      <c r="BC88" s="41"/>
      <c r="BD88" s="41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1"/>
      <c r="BR88" s="41"/>
      <c r="BS88" s="41"/>
      <c r="BT88" s="41"/>
      <c r="BU88" s="41"/>
      <c r="BV88" s="41"/>
      <c r="BW88" s="41"/>
      <c r="BX88" s="41"/>
      <c r="BY88" s="41"/>
      <c r="BZ88" s="41"/>
      <c r="CA88" s="41"/>
      <c r="CB88" s="41"/>
      <c r="CC88" s="41"/>
      <c r="CD88" s="41"/>
      <c r="CE88" s="41"/>
      <c r="CF88" s="41"/>
      <c r="CG88" s="41"/>
      <c r="CH88" s="41"/>
      <c r="CI88" s="41"/>
      <c r="CJ88" s="41"/>
      <c r="CK88" s="41"/>
      <c r="CL88" s="41"/>
      <c r="CM88" s="41">
        <v>-1869.9</v>
      </c>
      <c r="CN88" s="59">
        <v>0</v>
      </c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8"/>
    </row>
    <row r="89" spans="1:120" ht="15.6" x14ac:dyDescent="0.3">
      <c r="A89" s="10">
        <v>86</v>
      </c>
      <c r="B89" s="11" t="s">
        <v>99</v>
      </c>
      <c r="C89" s="11">
        <v>45</v>
      </c>
      <c r="D89" s="11" t="s">
        <v>100</v>
      </c>
      <c r="E89" s="11">
        <v>3.0356000000000001</v>
      </c>
      <c r="F89" s="11">
        <v>2.6440000000000001</v>
      </c>
      <c r="G89" s="40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41"/>
      <c r="BB89" s="41"/>
      <c r="BC89" s="41"/>
      <c r="BD89" s="41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1"/>
      <c r="BR89" s="41"/>
      <c r="BS89" s="41"/>
      <c r="BT89" s="41"/>
      <c r="BU89" s="41"/>
      <c r="BV89" s="41"/>
      <c r="BW89" s="41"/>
      <c r="BX89" s="41"/>
      <c r="BY89" s="41"/>
      <c r="BZ89" s="41"/>
      <c r="CA89" s="41"/>
      <c r="CB89" s="41"/>
      <c r="CC89" s="41"/>
      <c r="CD89" s="41"/>
      <c r="CE89" s="41"/>
      <c r="CF89" s="41"/>
      <c r="CG89" s="41"/>
      <c r="CH89" s="41"/>
      <c r="CI89" s="41"/>
      <c r="CJ89" s="41"/>
      <c r="CK89" s="41"/>
      <c r="CL89" s="41"/>
      <c r="CM89" s="41"/>
      <c r="CN89" s="41"/>
      <c r="CO89" s="59">
        <v>0</v>
      </c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8"/>
    </row>
    <row r="90" spans="1:120" ht="15.6" x14ac:dyDescent="0.3">
      <c r="A90" s="10">
        <v>87</v>
      </c>
      <c r="B90" s="11" t="s">
        <v>101</v>
      </c>
      <c r="C90" s="11">
        <v>45</v>
      </c>
      <c r="D90" s="11" t="s">
        <v>100</v>
      </c>
      <c r="E90" s="11">
        <v>2.2286999999999999</v>
      </c>
      <c r="F90" s="11">
        <v>1.9159999999999999</v>
      </c>
      <c r="G90" s="40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41"/>
      <c r="BB90" s="41"/>
      <c r="BC90" s="41"/>
      <c r="BD90" s="41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1"/>
      <c r="BR90" s="41"/>
      <c r="BS90" s="41"/>
      <c r="BT90" s="41"/>
      <c r="BU90" s="41"/>
      <c r="BV90" s="41"/>
      <c r="BW90" s="41"/>
      <c r="BX90" s="41"/>
      <c r="BY90" s="41"/>
      <c r="BZ90" s="41"/>
      <c r="CA90" s="41"/>
      <c r="CB90" s="41"/>
      <c r="CC90" s="41"/>
      <c r="CD90" s="41"/>
      <c r="CE90" s="41"/>
      <c r="CF90" s="41"/>
      <c r="CG90" s="41"/>
      <c r="CH90" s="41"/>
      <c r="CI90" s="41"/>
      <c r="CJ90" s="41"/>
      <c r="CK90" s="41"/>
      <c r="CL90" s="41"/>
      <c r="CM90" s="41"/>
      <c r="CN90" s="41"/>
      <c r="CO90" s="41"/>
      <c r="CP90" s="59">
        <v>0</v>
      </c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8"/>
    </row>
    <row r="91" spans="1:120" ht="15.6" x14ac:dyDescent="0.3">
      <c r="A91" s="10">
        <v>88</v>
      </c>
      <c r="B91" s="11" t="s">
        <v>102</v>
      </c>
      <c r="C91" s="11">
        <v>45</v>
      </c>
      <c r="D91" s="11" t="s">
        <v>100</v>
      </c>
      <c r="E91" s="11">
        <v>2.4060000000000001</v>
      </c>
      <c r="F91" s="11">
        <v>2.1160000000000001</v>
      </c>
      <c r="G91" s="40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41"/>
      <c r="BC91" s="41"/>
      <c r="BD91" s="41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1"/>
      <c r="BR91" s="41"/>
      <c r="BS91" s="41"/>
      <c r="BT91" s="41"/>
      <c r="BU91" s="41"/>
      <c r="BV91" s="41"/>
      <c r="BW91" s="41"/>
      <c r="BX91" s="41"/>
      <c r="BY91" s="41"/>
      <c r="BZ91" s="41"/>
      <c r="CA91" s="41"/>
      <c r="CB91" s="41"/>
      <c r="CC91" s="41"/>
      <c r="CD91" s="41"/>
      <c r="CE91" s="41"/>
      <c r="CF91" s="41"/>
      <c r="CG91" s="41"/>
      <c r="CH91" s="41"/>
      <c r="CI91" s="41"/>
      <c r="CJ91" s="41"/>
      <c r="CK91" s="41"/>
      <c r="CL91" s="41"/>
      <c r="CM91" s="41"/>
      <c r="CN91" s="41"/>
      <c r="CO91" s="41"/>
      <c r="CP91" s="41"/>
      <c r="CQ91" s="59">
        <v>0</v>
      </c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8"/>
    </row>
    <row r="92" spans="1:120" x14ac:dyDescent="0.3">
      <c r="A92" s="10">
        <v>89</v>
      </c>
      <c r="B92" s="11" t="s">
        <v>103</v>
      </c>
      <c r="C92" s="11">
        <v>45</v>
      </c>
      <c r="D92" s="11" t="s">
        <v>100</v>
      </c>
      <c r="E92" s="11">
        <v>1.6493</v>
      </c>
      <c r="F92" s="11">
        <v>1.4159999999999999</v>
      </c>
      <c r="G92" s="40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  <c r="BB92" s="41"/>
      <c r="BC92" s="41"/>
      <c r="BD92" s="41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1"/>
      <c r="BR92" s="41"/>
      <c r="BS92" s="41"/>
      <c r="BT92" s="41"/>
      <c r="BU92" s="41"/>
      <c r="BV92" s="41"/>
      <c r="BW92" s="41"/>
      <c r="BX92" s="41"/>
      <c r="BY92" s="41"/>
      <c r="BZ92" s="41"/>
      <c r="CA92" s="41"/>
      <c r="CB92" s="41"/>
      <c r="CC92" s="41"/>
      <c r="CD92" s="41"/>
      <c r="CE92" s="41"/>
      <c r="CF92" s="41"/>
      <c r="CG92" s="41"/>
      <c r="CH92" s="41"/>
      <c r="CI92" s="41"/>
      <c r="CJ92" s="41"/>
      <c r="CK92" s="41"/>
      <c r="CL92" s="41"/>
      <c r="CM92" s="41"/>
      <c r="CN92" s="41"/>
      <c r="CO92" s="41"/>
      <c r="CP92" s="41"/>
      <c r="CQ92" s="41"/>
      <c r="CR92" s="59">
        <v>0</v>
      </c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8"/>
    </row>
    <row r="93" spans="1:120" ht="15.6" x14ac:dyDescent="0.3">
      <c r="A93" s="10">
        <v>90</v>
      </c>
      <c r="B93" s="11" t="s">
        <v>104</v>
      </c>
      <c r="C93" s="11">
        <v>45</v>
      </c>
      <c r="D93" s="11" t="s">
        <v>100</v>
      </c>
      <c r="E93" s="11">
        <v>1.8173999999999999</v>
      </c>
      <c r="F93" s="11">
        <v>1.6479999999999999</v>
      </c>
      <c r="G93" s="40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41"/>
      <c r="BB93" s="41"/>
      <c r="BC93" s="41"/>
      <c r="BD93" s="41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1"/>
      <c r="BR93" s="41"/>
      <c r="BS93" s="41"/>
      <c r="BT93" s="41"/>
      <c r="BU93" s="41"/>
      <c r="BV93" s="41"/>
      <c r="BW93" s="41"/>
      <c r="BX93" s="41"/>
      <c r="BY93" s="41"/>
      <c r="BZ93" s="41"/>
      <c r="CA93" s="41"/>
      <c r="CB93" s="41"/>
      <c r="CC93" s="41"/>
      <c r="CD93" s="41"/>
      <c r="CE93" s="41"/>
      <c r="CF93" s="41"/>
      <c r="CG93" s="41"/>
      <c r="CH93" s="41"/>
      <c r="CI93" s="41"/>
      <c r="CJ93" s="41"/>
      <c r="CK93" s="41"/>
      <c r="CL93" s="41"/>
      <c r="CM93" s="41"/>
      <c r="CN93" s="41"/>
      <c r="CO93" s="41"/>
      <c r="CP93" s="41"/>
      <c r="CQ93" s="41"/>
      <c r="CR93" s="41"/>
      <c r="CS93" s="59">
        <v>0</v>
      </c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8"/>
    </row>
    <row r="94" spans="1:120" ht="15.6" x14ac:dyDescent="0.3">
      <c r="A94" s="10">
        <v>91</v>
      </c>
      <c r="B94" s="11" t="s">
        <v>105</v>
      </c>
      <c r="C94" s="11">
        <v>45</v>
      </c>
      <c r="D94" s="11" t="s">
        <v>100</v>
      </c>
      <c r="E94" s="11">
        <v>1.9670000000000001</v>
      </c>
      <c r="F94" s="11">
        <v>1.8280000000000001</v>
      </c>
      <c r="G94" s="40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41"/>
      <c r="BB94" s="41"/>
      <c r="BC94" s="41"/>
      <c r="BD94" s="41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1"/>
      <c r="BR94" s="41"/>
      <c r="BS94" s="41"/>
      <c r="BT94" s="41"/>
      <c r="BU94" s="41"/>
      <c r="BV94" s="41"/>
      <c r="BW94" s="41"/>
      <c r="BX94" s="41"/>
      <c r="BY94" s="41"/>
      <c r="BZ94" s="41"/>
      <c r="CA94" s="41"/>
      <c r="CB94" s="41"/>
      <c r="CC94" s="41"/>
      <c r="CD94" s="41"/>
      <c r="CE94" s="41"/>
      <c r="CF94" s="41"/>
      <c r="CG94" s="41"/>
      <c r="CH94" s="41"/>
      <c r="CI94" s="41"/>
      <c r="CJ94" s="41"/>
      <c r="CK94" s="41"/>
      <c r="CL94" s="41"/>
      <c r="CM94" s="41"/>
      <c r="CN94" s="41"/>
      <c r="CO94" s="41"/>
      <c r="CP94" s="41"/>
      <c r="CQ94" s="41"/>
      <c r="CR94" s="41"/>
      <c r="CS94" s="41"/>
      <c r="CT94" s="59">
        <v>0</v>
      </c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8"/>
    </row>
    <row r="95" spans="1:120" ht="15.6" x14ac:dyDescent="0.3">
      <c r="A95" s="10">
        <v>92</v>
      </c>
      <c r="B95" s="11" t="s">
        <v>106</v>
      </c>
      <c r="C95" s="11">
        <v>45</v>
      </c>
      <c r="D95" s="11" t="s">
        <v>100</v>
      </c>
      <c r="E95" s="11">
        <v>2.1720999999999999</v>
      </c>
      <c r="F95" s="11">
        <v>2.1</v>
      </c>
      <c r="G95" s="40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41"/>
      <c r="BB95" s="41"/>
      <c r="BC95" s="41"/>
      <c r="BD95" s="41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1"/>
      <c r="BR95" s="41"/>
      <c r="BS95" s="41"/>
      <c r="BT95" s="41"/>
      <c r="BU95" s="41"/>
      <c r="BV95" s="41"/>
      <c r="BW95" s="41"/>
      <c r="BX95" s="41"/>
      <c r="BY95" s="41"/>
      <c r="BZ95" s="41"/>
      <c r="CA95" s="41"/>
      <c r="CB95" s="41"/>
      <c r="CC95" s="41"/>
      <c r="CD95" s="41"/>
      <c r="CE95" s="41"/>
      <c r="CF95" s="41"/>
      <c r="CG95" s="41"/>
      <c r="CH95" s="41"/>
      <c r="CI95" s="41"/>
      <c r="CJ95" s="41"/>
      <c r="CK95" s="41"/>
      <c r="CL95" s="41"/>
      <c r="CM95" s="41"/>
      <c r="CN95" s="41"/>
      <c r="CO95" s="41"/>
      <c r="CP95" s="41"/>
      <c r="CQ95" s="41"/>
      <c r="CR95" s="41"/>
      <c r="CS95" s="41"/>
      <c r="CT95" s="41"/>
      <c r="CU95" s="59">
        <v>0</v>
      </c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8"/>
    </row>
    <row r="96" spans="1:120" ht="15.6" x14ac:dyDescent="0.3">
      <c r="A96" s="10">
        <v>93</v>
      </c>
      <c r="B96" s="11" t="s">
        <v>107</v>
      </c>
      <c r="C96" s="11">
        <v>45</v>
      </c>
      <c r="D96" s="11" t="s">
        <v>100</v>
      </c>
      <c r="E96" s="11">
        <v>2.6242999999999999</v>
      </c>
      <c r="F96" s="11">
        <v>2.3759999999999999</v>
      </c>
      <c r="G96" s="40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41"/>
      <c r="BC96" s="41"/>
      <c r="BD96" s="41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1"/>
      <c r="BR96" s="41"/>
      <c r="BS96" s="41"/>
      <c r="BT96" s="41"/>
      <c r="BU96" s="41"/>
      <c r="BV96" s="41"/>
      <c r="BW96" s="41"/>
      <c r="BX96" s="41"/>
      <c r="BY96" s="41"/>
      <c r="BZ96" s="41"/>
      <c r="CA96" s="41"/>
      <c r="CB96" s="41"/>
      <c r="CC96" s="41"/>
      <c r="CD96" s="41"/>
      <c r="CE96" s="41"/>
      <c r="CF96" s="41"/>
      <c r="CG96" s="41"/>
      <c r="CH96" s="41"/>
      <c r="CI96" s="41"/>
      <c r="CJ96" s="41"/>
      <c r="CK96" s="41"/>
      <c r="CL96" s="41"/>
      <c r="CM96" s="41"/>
      <c r="CN96" s="41"/>
      <c r="CO96" s="41"/>
      <c r="CP96" s="41"/>
      <c r="CQ96" s="41"/>
      <c r="CR96" s="41"/>
      <c r="CS96" s="41"/>
      <c r="CT96" s="41"/>
      <c r="CU96" s="41"/>
      <c r="CV96" s="59">
        <v>0</v>
      </c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8"/>
    </row>
    <row r="97" spans="1:120" ht="15.6" x14ac:dyDescent="0.3">
      <c r="A97" s="10">
        <v>94</v>
      </c>
      <c r="B97" s="11" t="s">
        <v>109</v>
      </c>
      <c r="C97" s="11">
        <v>46</v>
      </c>
      <c r="D97" s="11" t="s">
        <v>108</v>
      </c>
      <c r="E97" s="11">
        <v>1.4515</v>
      </c>
      <c r="F97" s="11">
        <v>1.248</v>
      </c>
      <c r="G97" s="40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41"/>
      <c r="BB97" s="41"/>
      <c r="BC97" s="41"/>
      <c r="BD97" s="41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1"/>
      <c r="BR97" s="41"/>
      <c r="BS97" s="41"/>
      <c r="BT97" s="41"/>
      <c r="BU97" s="41"/>
      <c r="BV97" s="41"/>
      <c r="BW97" s="41"/>
      <c r="BX97" s="41"/>
      <c r="BY97" s="41"/>
      <c r="BZ97" s="41"/>
      <c r="CA97" s="41"/>
      <c r="CB97" s="41"/>
      <c r="CC97" s="41"/>
      <c r="CD97" s="41"/>
      <c r="CE97" s="41"/>
      <c r="CF97" s="41"/>
      <c r="CG97" s="41"/>
      <c r="CH97" s="41"/>
      <c r="CI97" s="41"/>
      <c r="CJ97" s="41"/>
      <c r="CK97" s="41"/>
      <c r="CL97" s="41"/>
      <c r="CM97" s="41"/>
      <c r="CN97" s="41"/>
      <c r="CO97" s="41"/>
      <c r="CP97" s="41"/>
      <c r="CQ97" s="41"/>
      <c r="CR97" s="41"/>
      <c r="CS97" s="41"/>
      <c r="CT97" s="41"/>
      <c r="CU97" s="41"/>
      <c r="CV97" s="41"/>
      <c r="CW97" s="59">
        <v>0</v>
      </c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8"/>
    </row>
    <row r="98" spans="1:120" ht="15.6" x14ac:dyDescent="0.3">
      <c r="A98" s="10">
        <v>95</v>
      </c>
      <c r="B98" s="11" t="s">
        <v>111</v>
      </c>
      <c r="C98" s="11">
        <v>46</v>
      </c>
      <c r="D98" s="11" t="s">
        <v>108</v>
      </c>
      <c r="E98" s="11">
        <v>2.1905000000000001</v>
      </c>
      <c r="F98" s="11">
        <v>1.796</v>
      </c>
      <c r="G98" s="40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41"/>
      <c r="BB98" s="41"/>
      <c r="BC98" s="41"/>
      <c r="BD98" s="41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1"/>
      <c r="BR98" s="41"/>
      <c r="BS98" s="41"/>
      <c r="BT98" s="41"/>
      <c r="BU98" s="41"/>
      <c r="BV98" s="41"/>
      <c r="BW98" s="41"/>
      <c r="BX98" s="41"/>
      <c r="BY98" s="41"/>
      <c r="BZ98" s="41"/>
      <c r="CA98" s="41"/>
      <c r="CB98" s="41"/>
      <c r="CC98" s="41"/>
      <c r="CD98" s="41"/>
      <c r="CE98" s="41"/>
      <c r="CF98" s="41"/>
      <c r="CG98" s="41"/>
      <c r="CH98" s="41"/>
      <c r="CI98" s="41"/>
      <c r="CJ98" s="41"/>
      <c r="CK98" s="41"/>
      <c r="CL98" s="41"/>
      <c r="CM98" s="41"/>
      <c r="CN98" s="41"/>
      <c r="CO98" s="41"/>
      <c r="CP98" s="41"/>
      <c r="CQ98" s="41"/>
      <c r="CR98" s="41"/>
      <c r="CS98" s="41"/>
      <c r="CT98" s="41"/>
      <c r="CU98" s="41"/>
      <c r="CV98" s="41"/>
      <c r="CW98" s="41"/>
      <c r="CX98" s="59">
        <v>0</v>
      </c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8"/>
    </row>
    <row r="99" spans="1:120" ht="15.6" x14ac:dyDescent="0.3">
      <c r="A99" s="10">
        <v>96</v>
      </c>
      <c r="B99" s="11" t="s">
        <v>110</v>
      </c>
      <c r="C99" s="11">
        <v>46</v>
      </c>
      <c r="D99" s="11" t="s">
        <v>108</v>
      </c>
      <c r="E99" s="11">
        <v>1.9637</v>
      </c>
      <c r="F99" s="11">
        <v>1.488</v>
      </c>
      <c r="G99" s="40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  <c r="CX99" s="41"/>
      <c r="CY99" s="59">
        <v>0</v>
      </c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8"/>
    </row>
    <row r="100" spans="1:120" ht="15.6" x14ac:dyDescent="0.3">
      <c r="A100" s="10">
        <v>97</v>
      </c>
      <c r="B100" s="11" t="s">
        <v>112</v>
      </c>
      <c r="C100" s="11">
        <v>46</v>
      </c>
      <c r="D100" s="11" t="s">
        <v>108</v>
      </c>
      <c r="E100" s="11">
        <v>2.8589000000000002</v>
      </c>
      <c r="F100" s="11">
        <v>2.4279999999999999</v>
      </c>
      <c r="G100" s="40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  <c r="BB100" s="41"/>
      <c r="BC100" s="41"/>
      <c r="BD100" s="41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1"/>
      <c r="BR100" s="41"/>
      <c r="BS100" s="41"/>
      <c r="BT100" s="41"/>
      <c r="BU100" s="41"/>
      <c r="BV100" s="41"/>
      <c r="BW100" s="41"/>
      <c r="BX100" s="41"/>
      <c r="BY100" s="41"/>
      <c r="BZ100" s="41"/>
      <c r="CA100" s="41"/>
      <c r="CB100" s="41"/>
      <c r="CC100" s="41"/>
      <c r="CD100" s="41"/>
      <c r="CE100" s="41"/>
      <c r="CF100" s="41"/>
      <c r="CG100" s="41"/>
      <c r="CH100" s="41"/>
      <c r="CI100" s="41"/>
      <c r="CJ100" s="41"/>
      <c r="CK100" s="41"/>
      <c r="CL100" s="41"/>
      <c r="CM100" s="41"/>
      <c r="CN100" s="41"/>
      <c r="CO100" s="41"/>
      <c r="CP100" s="41"/>
      <c r="CQ100" s="41"/>
      <c r="CR100" s="41"/>
      <c r="CS100" s="41"/>
      <c r="CT100" s="41"/>
      <c r="CU100" s="41"/>
      <c r="CV100" s="41"/>
      <c r="CW100" s="41"/>
      <c r="CX100" s="41"/>
      <c r="CY100" s="41"/>
      <c r="CZ100" s="59">
        <v>0</v>
      </c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8"/>
    </row>
    <row r="101" spans="1:120" ht="15.6" x14ac:dyDescent="0.3">
      <c r="A101" s="10">
        <v>98</v>
      </c>
      <c r="B101" s="11" t="s">
        <v>113</v>
      </c>
      <c r="C101" s="11">
        <v>46</v>
      </c>
      <c r="D101" s="11" t="s">
        <v>108</v>
      </c>
      <c r="E101" s="11">
        <v>2.6322000000000001</v>
      </c>
      <c r="F101" s="11">
        <v>2.12</v>
      </c>
      <c r="G101" s="40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41"/>
      <c r="BB101" s="41"/>
      <c r="BC101" s="41"/>
      <c r="BD101" s="41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1"/>
      <c r="BR101" s="41"/>
      <c r="BS101" s="41"/>
      <c r="BT101" s="41"/>
      <c r="BU101" s="41"/>
      <c r="BV101" s="41"/>
      <c r="BW101" s="41"/>
      <c r="BX101" s="41"/>
      <c r="BY101" s="41"/>
      <c r="BZ101" s="41"/>
      <c r="CA101" s="41"/>
      <c r="CB101" s="41"/>
      <c r="CC101" s="41"/>
      <c r="CD101" s="41"/>
      <c r="CE101" s="41"/>
      <c r="CF101" s="41"/>
      <c r="CG101" s="41"/>
      <c r="CH101" s="41"/>
      <c r="CI101" s="41"/>
      <c r="CJ101" s="41"/>
      <c r="CK101" s="41"/>
      <c r="CL101" s="41"/>
      <c r="CM101" s="41"/>
      <c r="CN101" s="41"/>
      <c r="CO101" s="41"/>
      <c r="CP101" s="41"/>
      <c r="CQ101" s="41"/>
      <c r="CR101" s="41"/>
      <c r="CS101" s="41"/>
      <c r="CT101" s="41"/>
      <c r="CU101" s="41"/>
      <c r="CV101" s="41"/>
      <c r="CW101" s="41"/>
      <c r="CX101" s="41"/>
      <c r="CY101" s="41"/>
      <c r="CZ101" s="41"/>
      <c r="DA101" s="59">
        <v>0</v>
      </c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8"/>
    </row>
    <row r="102" spans="1:120" ht="15.6" x14ac:dyDescent="0.3">
      <c r="A102" s="10">
        <v>99</v>
      </c>
      <c r="B102" s="11" t="s">
        <v>114</v>
      </c>
      <c r="C102" s="11">
        <v>46</v>
      </c>
      <c r="D102" s="11" t="s">
        <v>108</v>
      </c>
      <c r="E102" s="11">
        <v>2.4054000000000002</v>
      </c>
      <c r="F102" s="11">
        <v>1.8120000000000001</v>
      </c>
      <c r="G102" s="40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  <c r="BB102" s="41"/>
      <c r="BC102" s="41"/>
      <c r="BD102" s="41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1"/>
      <c r="BR102" s="41"/>
      <c r="BS102" s="41"/>
      <c r="BT102" s="41"/>
      <c r="BU102" s="41"/>
      <c r="BV102" s="41"/>
      <c r="BW102" s="41"/>
      <c r="BX102" s="41"/>
      <c r="BY102" s="41"/>
      <c r="BZ102" s="41"/>
      <c r="CA102" s="41"/>
      <c r="CB102" s="41"/>
      <c r="CC102" s="41"/>
      <c r="CD102" s="41"/>
      <c r="CE102" s="41"/>
      <c r="CF102" s="41"/>
      <c r="CG102" s="41"/>
      <c r="CH102" s="41"/>
      <c r="CI102" s="41"/>
      <c r="CJ102" s="41"/>
      <c r="CK102" s="41"/>
      <c r="CL102" s="41"/>
      <c r="CM102" s="41"/>
      <c r="CN102" s="41"/>
      <c r="CO102" s="41"/>
      <c r="CP102" s="41"/>
      <c r="CQ102" s="41"/>
      <c r="CR102" s="41"/>
      <c r="CS102" s="41"/>
      <c r="CT102" s="41"/>
      <c r="CU102" s="41"/>
      <c r="CV102" s="41"/>
      <c r="CW102" s="41"/>
      <c r="CX102" s="41"/>
      <c r="CY102" s="41"/>
      <c r="CZ102" s="41"/>
      <c r="DA102" s="41"/>
      <c r="DB102" s="59">
        <v>0</v>
      </c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8"/>
    </row>
    <row r="103" spans="1:120" ht="15.6" x14ac:dyDescent="0.3">
      <c r="A103" s="10">
        <v>100</v>
      </c>
      <c r="B103" s="11" t="s">
        <v>116</v>
      </c>
      <c r="C103" s="11">
        <v>47</v>
      </c>
      <c r="D103" s="11" t="s">
        <v>115</v>
      </c>
      <c r="E103" s="11">
        <v>2.1225999999999998</v>
      </c>
      <c r="F103" s="11">
        <v>1.9039999999999999</v>
      </c>
      <c r="G103" s="40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41"/>
      <c r="BB103" s="41"/>
      <c r="BC103" s="41"/>
      <c r="BD103" s="41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1"/>
      <c r="BR103" s="41"/>
      <c r="BS103" s="41"/>
      <c r="BT103" s="41"/>
      <c r="BU103" s="41"/>
      <c r="BV103" s="41"/>
      <c r="BW103" s="41"/>
      <c r="BX103" s="41"/>
      <c r="BY103" s="41"/>
      <c r="BZ103" s="41"/>
      <c r="CA103" s="41"/>
      <c r="CB103" s="41"/>
      <c r="CC103" s="41"/>
      <c r="CD103" s="41"/>
      <c r="CE103" s="41"/>
      <c r="CF103" s="41"/>
      <c r="CG103" s="41"/>
      <c r="CH103" s="41"/>
      <c r="CI103" s="41"/>
      <c r="CJ103" s="41"/>
      <c r="CK103" s="41"/>
      <c r="CL103" s="41"/>
      <c r="CM103" s="41"/>
      <c r="CN103" s="41"/>
      <c r="CO103" s="41"/>
      <c r="CP103" s="41"/>
      <c r="CQ103" s="41"/>
      <c r="CR103" s="41"/>
      <c r="CS103" s="41"/>
      <c r="CT103" s="41"/>
      <c r="CU103" s="41"/>
      <c r="CV103" s="41"/>
      <c r="CW103" s="41"/>
      <c r="CX103" s="41"/>
      <c r="CY103" s="41"/>
      <c r="CZ103" s="41"/>
      <c r="DA103" s="41"/>
      <c r="DB103" s="41"/>
      <c r="DC103" s="59">
        <v>0</v>
      </c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8"/>
    </row>
    <row r="104" spans="1:120" ht="15.6" x14ac:dyDescent="0.3">
      <c r="A104" s="10">
        <v>101</v>
      </c>
      <c r="B104" s="11" t="s">
        <v>117</v>
      </c>
      <c r="C104" s="11">
        <v>47</v>
      </c>
      <c r="D104" s="11" t="s">
        <v>115</v>
      </c>
      <c r="E104" s="11">
        <v>1.8952</v>
      </c>
      <c r="F104" s="11">
        <v>1.5920000000000001</v>
      </c>
      <c r="G104" s="40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41"/>
      <c r="BB104" s="41"/>
      <c r="BC104" s="41"/>
      <c r="BD104" s="41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1"/>
      <c r="BR104" s="41"/>
      <c r="BS104" s="41"/>
      <c r="BT104" s="41"/>
      <c r="BU104" s="41"/>
      <c r="BV104" s="41"/>
      <c r="BW104" s="41"/>
      <c r="BX104" s="41"/>
      <c r="BY104" s="41"/>
      <c r="BZ104" s="41"/>
      <c r="CA104" s="41"/>
      <c r="CB104" s="41"/>
      <c r="CC104" s="41"/>
      <c r="CD104" s="41"/>
      <c r="CE104" s="41"/>
      <c r="CF104" s="41"/>
      <c r="CG104" s="41"/>
      <c r="CH104" s="41"/>
      <c r="CI104" s="41"/>
      <c r="CJ104" s="41"/>
      <c r="CK104" s="41"/>
      <c r="CL104" s="41"/>
      <c r="CM104" s="41"/>
      <c r="CN104" s="41"/>
      <c r="CO104" s="41"/>
      <c r="CP104" s="41"/>
      <c r="CQ104" s="41"/>
      <c r="CR104" s="41"/>
      <c r="CS104" s="41"/>
      <c r="CT104" s="41"/>
      <c r="CU104" s="41"/>
      <c r="CV104" s="41"/>
      <c r="CW104" s="41"/>
      <c r="CX104" s="41"/>
      <c r="CY104" s="41"/>
      <c r="CZ104" s="41"/>
      <c r="DA104" s="41"/>
      <c r="DB104" s="41"/>
      <c r="DC104" s="41"/>
      <c r="DD104" s="59">
        <v>0</v>
      </c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8"/>
    </row>
    <row r="105" spans="1:120" ht="15.6" x14ac:dyDescent="0.3">
      <c r="A105" s="10">
        <v>102</v>
      </c>
      <c r="B105" s="11" t="s">
        <v>118</v>
      </c>
      <c r="C105" s="11">
        <v>48</v>
      </c>
      <c r="D105" s="11" t="s">
        <v>119</v>
      </c>
      <c r="E105" s="11">
        <v>1.613</v>
      </c>
      <c r="F105" s="11">
        <v>1.3680000000000001</v>
      </c>
      <c r="G105" s="40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41"/>
      <c r="BC105" s="41"/>
      <c r="BD105" s="41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1"/>
      <c r="BR105" s="41"/>
      <c r="BS105" s="41"/>
      <c r="BT105" s="41"/>
      <c r="BU105" s="41"/>
      <c r="BV105" s="41"/>
      <c r="BW105" s="41"/>
      <c r="BX105" s="41"/>
      <c r="BY105" s="41"/>
      <c r="BZ105" s="41"/>
      <c r="CA105" s="41"/>
      <c r="CB105" s="41"/>
      <c r="CC105" s="41"/>
      <c r="CD105" s="41"/>
      <c r="CE105" s="41"/>
      <c r="CF105" s="41"/>
      <c r="CG105" s="41"/>
      <c r="CH105" s="41"/>
      <c r="CI105" s="41"/>
      <c r="CJ105" s="41"/>
      <c r="CK105" s="41"/>
      <c r="CL105" s="41"/>
      <c r="CM105" s="41"/>
      <c r="CN105" s="41"/>
      <c r="CO105" s="41"/>
      <c r="CP105" s="41"/>
      <c r="CQ105" s="41"/>
      <c r="CR105" s="41"/>
      <c r="CS105" s="41"/>
      <c r="CT105" s="41"/>
      <c r="CU105" s="41"/>
      <c r="CV105" s="41"/>
      <c r="CW105" s="41"/>
      <c r="CX105" s="41"/>
      <c r="CY105" s="41"/>
      <c r="CZ105" s="41"/>
      <c r="DA105" s="41"/>
      <c r="DB105" s="41"/>
      <c r="DC105" s="41"/>
      <c r="DD105" s="41"/>
      <c r="DE105" s="59">
        <v>0</v>
      </c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8"/>
    </row>
    <row r="106" spans="1:120" ht="15.6" x14ac:dyDescent="0.3">
      <c r="A106" s="10">
        <v>103</v>
      </c>
      <c r="B106" s="11" t="s">
        <v>119</v>
      </c>
      <c r="C106" s="11">
        <v>48</v>
      </c>
      <c r="D106" s="11" t="s">
        <v>119</v>
      </c>
      <c r="E106" s="11">
        <v>1.3863000000000001</v>
      </c>
      <c r="F106" s="11">
        <v>1.06</v>
      </c>
      <c r="G106" s="40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41"/>
      <c r="BB106" s="41"/>
      <c r="BC106" s="41"/>
      <c r="BD106" s="41"/>
      <c r="BE106" s="41"/>
      <c r="BF106" s="41"/>
      <c r="BG106" s="41"/>
      <c r="BH106" s="41"/>
      <c r="BI106" s="41"/>
      <c r="BJ106" s="41"/>
      <c r="BK106" s="41"/>
      <c r="BL106" s="41"/>
      <c r="BM106" s="41"/>
      <c r="BN106" s="41"/>
      <c r="BO106" s="41"/>
      <c r="BP106" s="41"/>
      <c r="BQ106" s="41"/>
      <c r="BR106" s="41"/>
      <c r="BS106" s="41"/>
      <c r="BT106" s="41"/>
      <c r="BU106" s="41"/>
      <c r="BV106" s="41"/>
      <c r="BW106" s="41"/>
      <c r="BX106" s="41"/>
      <c r="BY106" s="41"/>
      <c r="BZ106" s="41"/>
      <c r="CA106" s="41"/>
      <c r="CB106" s="41"/>
      <c r="CC106" s="41"/>
      <c r="CD106" s="41"/>
      <c r="CE106" s="41"/>
      <c r="CF106" s="41"/>
      <c r="CG106" s="41"/>
      <c r="CH106" s="41"/>
      <c r="CI106" s="41"/>
      <c r="CJ106" s="41"/>
      <c r="CK106" s="41"/>
      <c r="CL106" s="41"/>
      <c r="CM106" s="41"/>
      <c r="CN106" s="41"/>
      <c r="CO106" s="41"/>
      <c r="CP106" s="41"/>
      <c r="CQ106" s="41"/>
      <c r="CR106" s="41"/>
      <c r="CS106" s="41"/>
      <c r="CT106" s="41"/>
      <c r="CU106" s="41"/>
      <c r="CV106" s="41"/>
      <c r="CW106" s="41"/>
      <c r="CX106" s="41"/>
      <c r="CY106" s="41"/>
      <c r="CZ106" s="41"/>
      <c r="DA106" s="41"/>
      <c r="DB106" s="41"/>
      <c r="DC106" s="41"/>
      <c r="DD106" s="41"/>
      <c r="DE106" s="41"/>
      <c r="DF106" s="59">
        <v>0</v>
      </c>
      <c r="DG106" s="57"/>
      <c r="DH106" s="57"/>
      <c r="DI106" s="57"/>
      <c r="DJ106" s="57"/>
      <c r="DK106" s="57"/>
      <c r="DL106" s="57"/>
      <c r="DM106" s="57"/>
      <c r="DN106" s="57"/>
      <c r="DO106" s="57"/>
      <c r="DP106" s="58"/>
    </row>
    <row r="107" spans="1:120" ht="15.6" x14ac:dyDescent="0.3">
      <c r="A107" s="10">
        <v>104</v>
      </c>
      <c r="B107" s="11" t="s">
        <v>120</v>
      </c>
      <c r="C107" s="11">
        <v>48</v>
      </c>
      <c r="D107" s="11" t="s">
        <v>119</v>
      </c>
      <c r="E107" s="11">
        <v>1.1589</v>
      </c>
      <c r="F107" s="11">
        <v>0.748</v>
      </c>
      <c r="G107" s="40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41"/>
      <c r="BB107" s="41"/>
      <c r="BC107" s="41"/>
      <c r="BD107" s="41"/>
      <c r="BE107" s="41"/>
      <c r="BF107" s="41"/>
      <c r="BG107" s="41"/>
      <c r="BH107" s="41"/>
      <c r="BI107" s="41"/>
      <c r="BJ107" s="41"/>
      <c r="BK107" s="41"/>
      <c r="BL107" s="41"/>
      <c r="BM107" s="41"/>
      <c r="BN107" s="41"/>
      <c r="BO107" s="41"/>
      <c r="BP107" s="41"/>
      <c r="BQ107" s="41"/>
      <c r="BR107" s="41"/>
      <c r="BS107" s="41"/>
      <c r="BT107" s="41"/>
      <c r="BU107" s="41"/>
      <c r="BV107" s="41"/>
      <c r="BW107" s="41"/>
      <c r="BX107" s="41"/>
      <c r="BY107" s="41"/>
      <c r="BZ107" s="41"/>
      <c r="CA107" s="41"/>
      <c r="CB107" s="41"/>
      <c r="CC107" s="41"/>
      <c r="CD107" s="41"/>
      <c r="CE107" s="41"/>
      <c r="CF107" s="41"/>
      <c r="CG107" s="41"/>
      <c r="CH107" s="41"/>
      <c r="CI107" s="41"/>
      <c r="CJ107" s="41"/>
      <c r="CK107" s="41"/>
      <c r="CL107" s="41"/>
      <c r="CM107" s="41"/>
      <c r="CN107" s="41"/>
      <c r="CO107" s="41"/>
      <c r="CP107" s="41"/>
      <c r="CQ107" s="41"/>
      <c r="CR107" s="41"/>
      <c r="CS107" s="41"/>
      <c r="CT107" s="41"/>
      <c r="CU107" s="41"/>
      <c r="CV107" s="41"/>
      <c r="CW107" s="41"/>
      <c r="CX107" s="41"/>
      <c r="CY107" s="41"/>
      <c r="CZ107" s="41"/>
      <c r="DA107" s="41"/>
      <c r="DB107" s="41"/>
      <c r="DC107" s="41"/>
      <c r="DD107" s="41"/>
      <c r="DE107" s="41"/>
      <c r="DF107" s="41"/>
      <c r="DG107" s="59">
        <v>0</v>
      </c>
      <c r="DH107" s="57"/>
      <c r="DI107" s="57"/>
      <c r="DJ107" s="57"/>
      <c r="DK107" s="57"/>
      <c r="DL107" s="57"/>
      <c r="DM107" s="57"/>
      <c r="DN107" s="57"/>
      <c r="DO107" s="57"/>
      <c r="DP107" s="58"/>
    </row>
    <row r="108" spans="1:120" x14ac:dyDescent="0.3">
      <c r="A108" s="10">
        <v>105</v>
      </c>
      <c r="B108" s="11" t="s">
        <v>121</v>
      </c>
      <c r="C108" s="11">
        <v>49</v>
      </c>
      <c r="D108" s="11" t="s">
        <v>123</v>
      </c>
      <c r="E108" s="11">
        <v>3.4740000000000002</v>
      </c>
      <c r="F108" s="11">
        <v>2.7959999999999998</v>
      </c>
      <c r="G108" s="40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41"/>
      <c r="BB108" s="41"/>
      <c r="BC108" s="41"/>
      <c r="BD108" s="41"/>
      <c r="BE108" s="41"/>
      <c r="BF108" s="41"/>
      <c r="BG108" s="41"/>
      <c r="BH108" s="41"/>
      <c r="BI108" s="41"/>
      <c r="BJ108" s="41"/>
      <c r="BK108" s="41"/>
      <c r="BL108" s="41"/>
      <c r="BM108" s="41"/>
      <c r="BN108" s="41"/>
      <c r="BO108" s="41"/>
      <c r="BP108" s="41"/>
      <c r="BQ108" s="41"/>
      <c r="BR108" s="41"/>
      <c r="BS108" s="41"/>
      <c r="BT108" s="41"/>
      <c r="BU108" s="41"/>
      <c r="BV108" s="41"/>
      <c r="BW108" s="41"/>
      <c r="BX108" s="41"/>
      <c r="BY108" s="41"/>
      <c r="BZ108" s="41"/>
      <c r="CA108" s="41"/>
      <c r="CB108" s="41"/>
      <c r="CC108" s="41"/>
      <c r="CD108" s="41"/>
      <c r="CE108" s="41"/>
      <c r="CF108" s="41"/>
      <c r="CG108" s="41"/>
      <c r="CH108" s="41"/>
      <c r="CI108" s="41"/>
      <c r="CJ108" s="41"/>
      <c r="CK108" s="41"/>
      <c r="CL108" s="41"/>
      <c r="CM108" s="41"/>
      <c r="CN108" s="41"/>
      <c r="CO108" s="41"/>
      <c r="CP108" s="41"/>
      <c r="CQ108" s="41"/>
      <c r="CR108" s="41"/>
      <c r="CS108" s="41"/>
      <c r="CT108" s="41"/>
      <c r="CU108" s="41"/>
      <c r="CV108" s="41"/>
      <c r="CW108" s="41"/>
      <c r="CX108" s="41"/>
      <c r="CY108" s="41"/>
      <c r="CZ108" s="41"/>
      <c r="DA108" s="41"/>
      <c r="DB108" s="41"/>
      <c r="DC108" s="41"/>
      <c r="DD108" s="41"/>
      <c r="DE108" s="41"/>
      <c r="DF108" s="41"/>
      <c r="DG108" s="41"/>
      <c r="DH108" s="59">
        <v>0</v>
      </c>
      <c r="DI108" s="57"/>
      <c r="DJ108" s="57"/>
      <c r="DK108" s="57"/>
      <c r="DL108" s="57"/>
      <c r="DM108" s="57"/>
      <c r="DN108" s="57"/>
      <c r="DO108" s="57"/>
      <c r="DP108" s="58"/>
    </row>
    <row r="109" spans="1:120" ht="15.6" x14ac:dyDescent="0.3">
      <c r="A109" s="10">
        <v>106</v>
      </c>
      <c r="B109" s="11" t="s">
        <v>124</v>
      </c>
      <c r="C109" s="11">
        <v>50</v>
      </c>
      <c r="D109" s="11" t="s">
        <v>122</v>
      </c>
      <c r="E109" s="11">
        <v>2.8569</v>
      </c>
      <c r="F109" s="11">
        <v>2.14</v>
      </c>
      <c r="G109" s="40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41"/>
      <c r="BB109" s="41"/>
      <c r="BC109" s="41"/>
      <c r="BD109" s="41"/>
      <c r="BE109" s="41"/>
      <c r="BF109" s="41"/>
      <c r="BG109" s="41"/>
      <c r="BH109" s="41"/>
      <c r="BI109" s="41"/>
      <c r="BJ109" s="41"/>
      <c r="BK109" s="41"/>
      <c r="BL109" s="41"/>
      <c r="BM109" s="41"/>
      <c r="BN109" s="41"/>
      <c r="BO109" s="41"/>
      <c r="BP109" s="41"/>
      <c r="BQ109" s="41"/>
      <c r="BR109" s="41"/>
      <c r="BS109" s="41"/>
      <c r="BT109" s="41"/>
      <c r="BU109" s="41"/>
      <c r="BV109" s="41"/>
      <c r="BW109" s="41"/>
      <c r="BX109" s="41"/>
      <c r="BY109" s="41"/>
      <c r="BZ109" s="41"/>
      <c r="CA109" s="41"/>
      <c r="CB109" s="41"/>
      <c r="CC109" s="41"/>
      <c r="CD109" s="41"/>
      <c r="CE109" s="41"/>
      <c r="CF109" s="41"/>
      <c r="CG109" s="41"/>
      <c r="CH109" s="41"/>
      <c r="CI109" s="41"/>
      <c r="CJ109" s="41"/>
      <c r="CK109" s="41"/>
      <c r="CL109" s="41"/>
      <c r="CM109" s="41"/>
      <c r="CN109" s="41"/>
      <c r="CO109" s="41"/>
      <c r="CP109" s="41"/>
      <c r="CQ109" s="41"/>
      <c r="CR109" s="41"/>
      <c r="CS109" s="41"/>
      <c r="CT109" s="41"/>
      <c r="CU109" s="41"/>
      <c r="CV109" s="41"/>
      <c r="CW109" s="41"/>
      <c r="CX109" s="41"/>
      <c r="CY109" s="41"/>
      <c r="CZ109" s="41"/>
      <c r="DA109" s="41"/>
      <c r="DB109" s="41"/>
      <c r="DC109" s="41"/>
      <c r="DD109" s="41"/>
      <c r="DE109" s="41"/>
      <c r="DF109" s="41"/>
      <c r="DG109" s="41"/>
      <c r="DH109" s="41"/>
      <c r="DI109" s="59">
        <v>0</v>
      </c>
      <c r="DJ109" s="57"/>
      <c r="DK109" s="57"/>
      <c r="DL109" s="57"/>
      <c r="DM109" s="57"/>
      <c r="DN109" s="57"/>
      <c r="DO109" s="57"/>
      <c r="DP109" s="58"/>
    </row>
    <row r="110" spans="1:120" ht="15.6" x14ac:dyDescent="0.3">
      <c r="A110" s="10">
        <v>107</v>
      </c>
      <c r="B110" s="11" t="s">
        <v>125</v>
      </c>
      <c r="C110" s="11">
        <v>50</v>
      </c>
      <c r="D110" s="11" t="s">
        <v>122</v>
      </c>
      <c r="E110" s="11">
        <v>2.6907999999999999</v>
      </c>
      <c r="F110" s="11">
        <v>1.86</v>
      </c>
      <c r="G110" s="40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  <c r="BJ110" s="41"/>
      <c r="BK110" s="41"/>
      <c r="BL110" s="41"/>
      <c r="BM110" s="41"/>
      <c r="BN110" s="41"/>
      <c r="BO110" s="41"/>
      <c r="BP110" s="41"/>
      <c r="BQ110" s="41"/>
      <c r="BR110" s="41"/>
      <c r="BS110" s="41"/>
      <c r="BT110" s="41"/>
      <c r="BU110" s="41"/>
      <c r="BV110" s="41"/>
      <c r="BW110" s="41"/>
      <c r="BX110" s="41"/>
      <c r="BY110" s="41"/>
      <c r="BZ110" s="41"/>
      <c r="CA110" s="41"/>
      <c r="CB110" s="41"/>
      <c r="CC110" s="41"/>
      <c r="CD110" s="41"/>
      <c r="CE110" s="41"/>
      <c r="CF110" s="41"/>
      <c r="CG110" s="41"/>
      <c r="CH110" s="41"/>
      <c r="CI110" s="41"/>
      <c r="CJ110" s="41"/>
      <c r="CK110" s="41"/>
      <c r="CL110" s="41"/>
      <c r="CM110" s="41"/>
      <c r="CN110" s="41"/>
      <c r="CO110" s="41"/>
      <c r="CP110" s="41"/>
      <c r="CQ110" s="41"/>
      <c r="CR110" s="41"/>
      <c r="CS110" s="41"/>
      <c r="CT110" s="41"/>
      <c r="CU110" s="41"/>
      <c r="CV110" s="41"/>
      <c r="CW110" s="41"/>
      <c r="CX110" s="41"/>
      <c r="CY110" s="41"/>
      <c r="CZ110" s="41"/>
      <c r="DA110" s="41"/>
      <c r="DB110" s="41"/>
      <c r="DC110" s="41"/>
      <c r="DD110" s="41"/>
      <c r="DE110" s="41"/>
      <c r="DF110" s="41"/>
      <c r="DG110" s="41"/>
      <c r="DH110" s="41"/>
      <c r="DI110" s="41"/>
      <c r="DJ110" s="59">
        <v>0</v>
      </c>
      <c r="DK110" s="57"/>
      <c r="DL110" s="57"/>
      <c r="DM110" s="57"/>
      <c r="DN110" s="57"/>
      <c r="DO110" s="57"/>
      <c r="DP110" s="58"/>
    </row>
    <row r="111" spans="1:120" ht="15.6" x14ac:dyDescent="0.3">
      <c r="A111" s="10">
        <v>108</v>
      </c>
      <c r="B111" s="11" t="s">
        <v>126</v>
      </c>
      <c r="C111" s="11">
        <v>50</v>
      </c>
      <c r="D111" s="11" t="s">
        <v>122</v>
      </c>
      <c r="E111" s="11">
        <v>2.5247000000000002</v>
      </c>
      <c r="F111" s="11">
        <v>1.58</v>
      </c>
      <c r="G111" s="40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41"/>
      <c r="BB111" s="41"/>
      <c r="BC111" s="41"/>
      <c r="BD111" s="41"/>
      <c r="BE111" s="41"/>
      <c r="BF111" s="41"/>
      <c r="BG111" s="41"/>
      <c r="BH111" s="41"/>
      <c r="BI111" s="41"/>
      <c r="BJ111" s="41"/>
      <c r="BK111" s="41"/>
      <c r="BL111" s="41"/>
      <c r="BM111" s="41"/>
      <c r="BN111" s="41"/>
      <c r="BO111" s="41"/>
      <c r="BP111" s="41"/>
      <c r="BQ111" s="41"/>
      <c r="BR111" s="41"/>
      <c r="BS111" s="41"/>
      <c r="BT111" s="41"/>
      <c r="BU111" s="41"/>
      <c r="BV111" s="41"/>
      <c r="BW111" s="41"/>
      <c r="BX111" s="41"/>
      <c r="BY111" s="41"/>
      <c r="BZ111" s="41"/>
      <c r="CA111" s="41"/>
      <c r="CB111" s="41"/>
      <c r="CC111" s="41"/>
      <c r="CD111" s="41"/>
      <c r="CE111" s="41"/>
      <c r="CF111" s="41"/>
      <c r="CG111" s="41"/>
      <c r="CH111" s="41"/>
      <c r="CI111" s="41"/>
      <c r="CJ111" s="41"/>
      <c r="CK111" s="41"/>
      <c r="CL111" s="41"/>
      <c r="CM111" s="41"/>
      <c r="CN111" s="41"/>
      <c r="CO111" s="41"/>
      <c r="CP111" s="41"/>
      <c r="CQ111" s="41"/>
      <c r="CR111" s="41"/>
      <c r="CS111" s="41"/>
      <c r="CT111" s="41"/>
      <c r="CU111" s="41"/>
      <c r="CV111" s="41"/>
      <c r="CW111" s="41"/>
      <c r="CX111" s="41"/>
      <c r="CY111" s="41"/>
      <c r="CZ111" s="41"/>
      <c r="DA111" s="41"/>
      <c r="DB111" s="41"/>
      <c r="DC111" s="41"/>
      <c r="DD111" s="41"/>
      <c r="DE111" s="41"/>
      <c r="DF111" s="41"/>
      <c r="DG111" s="41"/>
      <c r="DH111" s="41"/>
      <c r="DI111" s="41"/>
      <c r="DJ111" s="41"/>
      <c r="DK111" s="59">
        <v>0</v>
      </c>
      <c r="DL111" s="57"/>
      <c r="DM111" s="57"/>
      <c r="DN111" s="57"/>
      <c r="DO111" s="57"/>
      <c r="DP111" s="58"/>
    </row>
    <row r="112" spans="1:120" x14ac:dyDescent="0.3">
      <c r="A112" s="10">
        <v>109</v>
      </c>
      <c r="B112" s="11" t="s">
        <v>127</v>
      </c>
      <c r="C112" s="11">
        <v>51</v>
      </c>
      <c r="D112" s="11" t="s">
        <v>127</v>
      </c>
      <c r="E112" s="11">
        <v>1.0567</v>
      </c>
      <c r="F112" s="11">
        <v>0.73199999999999998</v>
      </c>
      <c r="G112" s="40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41"/>
      <c r="BB112" s="41"/>
      <c r="BC112" s="41"/>
      <c r="BD112" s="41"/>
      <c r="BE112" s="41"/>
      <c r="BF112" s="41"/>
      <c r="BG112" s="41"/>
      <c r="BH112" s="41"/>
      <c r="BI112" s="41"/>
      <c r="BJ112" s="41"/>
      <c r="BK112" s="41"/>
      <c r="BL112" s="41"/>
      <c r="BM112" s="41"/>
      <c r="BN112" s="41"/>
      <c r="BO112" s="41"/>
      <c r="BP112" s="41"/>
      <c r="BQ112" s="41"/>
      <c r="BR112" s="41"/>
      <c r="BS112" s="41"/>
      <c r="BT112" s="41"/>
      <c r="BU112" s="41"/>
      <c r="BV112" s="41"/>
      <c r="BW112" s="41"/>
      <c r="BX112" s="41"/>
      <c r="BY112" s="41"/>
      <c r="BZ112" s="41"/>
      <c r="CA112" s="41"/>
      <c r="CB112" s="41"/>
      <c r="CC112" s="41"/>
      <c r="CD112" s="41"/>
      <c r="CE112" s="41"/>
      <c r="CF112" s="41"/>
      <c r="CG112" s="41"/>
      <c r="CH112" s="41"/>
      <c r="CI112" s="41"/>
      <c r="CJ112" s="41"/>
      <c r="CK112" s="41"/>
      <c r="CL112" s="41"/>
      <c r="CM112" s="41"/>
      <c r="CN112" s="41"/>
      <c r="CO112" s="41"/>
      <c r="CP112" s="41"/>
      <c r="CQ112" s="41"/>
      <c r="CR112" s="41"/>
      <c r="CS112" s="41"/>
      <c r="CT112" s="41"/>
      <c r="CU112" s="41"/>
      <c r="CV112" s="41"/>
      <c r="CW112" s="41"/>
      <c r="CX112" s="41"/>
      <c r="CY112" s="41"/>
      <c r="CZ112" s="41"/>
      <c r="DA112" s="41"/>
      <c r="DB112" s="41"/>
      <c r="DC112" s="41"/>
      <c r="DD112" s="41"/>
      <c r="DE112" s="41"/>
      <c r="DF112" s="41"/>
      <c r="DG112" s="41"/>
      <c r="DH112" s="41"/>
      <c r="DI112" s="41"/>
      <c r="DJ112" s="41"/>
      <c r="DK112" s="41"/>
      <c r="DL112" s="59">
        <v>0</v>
      </c>
      <c r="DM112" s="57"/>
      <c r="DN112" s="57"/>
      <c r="DO112" s="57"/>
      <c r="DP112" s="58"/>
    </row>
    <row r="113" spans="1:120" ht="15.6" x14ac:dyDescent="0.3">
      <c r="A113" s="10">
        <v>110</v>
      </c>
      <c r="B113" s="11" t="s">
        <v>129</v>
      </c>
      <c r="C113" s="11">
        <v>55</v>
      </c>
      <c r="D113" s="11" t="s">
        <v>128</v>
      </c>
      <c r="E113" s="11">
        <v>2.6869000000000001</v>
      </c>
      <c r="F113" s="11">
        <v>2.12</v>
      </c>
      <c r="G113" s="40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41"/>
      <c r="BB113" s="41"/>
      <c r="BC113" s="41"/>
      <c r="BD113" s="41"/>
      <c r="BE113" s="41"/>
      <c r="BF113" s="41"/>
      <c r="BG113" s="41"/>
      <c r="BH113" s="41"/>
      <c r="BI113" s="41"/>
      <c r="BJ113" s="41"/>
      <c r="BK113" s="41"/>
      <c r="BL113" s="41"/>
      <c r="BM113" s="41"/>
      <c r="BN113" s="41"/>
      <c r="BO113" s="41"/>
      <c r="BP113" s="41"/>
      <c r="BQ113" s="41"/>
      <c r="BR113" s="41"/>
      <c r="BS113" s="41"/>
      <c r="BT113" s="41"/>
      <c r="BU113" s="41"/>
      <c r="BV113" s="41"/>
      <c r="BW113" s="41"/>
      <c r="BX113" s="41"/>
      <c r="BY113" s="41"/>
      <c r="BZ113" s="41"/>
      <c r="CA113" s="41"/>
      <c r="CB113" s="41"/>
      <c r="CC113" s="41"/>
      <c r="CD113" s="41"/>
      <c r="CE113" s="41"/>
      <c r="CF113" s="41"/>
      <c r="CG113" s="41"/>
      <c r="CH113" s="41"/>
      <c r="CI113" s="41"/>
      <c r="CJ113" s="41"/>
      <c r="CK113" s="41"/>
      <c r="CL113" s="41"/>
      <c r="CM113" s="41"/>
      <c r="CN113" s="41"/>
      <c r="CO113" s="41"/>
      <c r="CP113" s="41"/>
      <c r="CQ113" s="41"/>
      <c r="CR113" s="41"/>
      <c r="CS113" s="41"/>
      <c r="CT113" s="41"/>
      <c r="CU113" s="41"/>
      <c r="CV113" s="41"/>
      <c r="CW113" s="41"/>
      <c r="CX113" s="41"/>
      <c r="CY113" s="41"/>
      <c r="CZ113" s="41"/>
      <c r="DA113" s="41"/>
      <c r="DB113" s="41"/>
      <c r="DC113" s="41"/>
      <c r="DD113" s="41"/>
      <c r="DE113" s="41"/>
      <c r="DF113" s="41"/>
      <c r="DG113" s="41"/>
      <c r="DH113" s="41"/>
      <c r="DI113" s="41"/>
      <c r="DJ113" s="41"/>
      <c r="DK113" s="41"/>
      <c r="DL113" s="41"/>
      <c r="DM113" s="59">
        <v>0</v>
      </c>
      <c r="DN113" s="57"/>
      <c r="DO113" s="57"/>
      <c r="DP113" s="58"/>
    </row>
    <row r="114" spans="1:120" ht="15.6" x14ac:dyDescent="0.3">
      <c r="A114" s="10">
        <v>111</v>
      </c>
      <c r="B114" s="11" t="s">
        <v>130</v>
      </c>
      <c r="C114" s="11">
        <v>55</v>
      </c>
      <c r="D114" s="11" t="s">
        <v>128</v>
      </c>
      <c r="E114" s="11">
        <v>2.4594999999999998</v>
      </c>
      <c r="F114" s="11">
        <v>1.8080000000000001</v>
      </c>
      <c r="G114" s="40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41"/>
      <c r="BB114" s="41"/>
      <c r="BC114" s="41"/>
      <c r="BD114" s="41"/>
      <c r="BE114" s="41"/>
      <c r="BF114" s="41"/>
      <c r="BG114" s="41"/>
      <c r="BH114" s="41"/>
      <c r="BI114" s="41"/>
      <c r="BJ114" s="41"/>
      <c r="BK114" s="41"/>
      <c r="BL114" s="41"/>
      <c r="BM114" s="41"/>
      <c r="BN114" s="41"/>
      <c r="BO114" s="41"/>
      <c r="BP114" s="41"/>
      <c r="BQ114" s="41"/>
      <c r="BR114" s="41"/>
      <c r="BS114" s="41"/>
      <c r="BT114" s="41"/>
      <c r="BU114" s="41"/>
      <c r="BV114" s="41"/>
      <c r="BW114" s="41"/>
      <c r="BX114" s="41"/>
      <c r="BY114" s="41"/>
      <c r="BZ114" s="41"/>
      <c r="CA114" s="41"/>
      <c r="CB114" s="41"/>
      <c r="CC114" s="41"/>
      <c r="CD114" s="41"/>
      <c r="CE114" s="41"/>
      <c r="CF114" s="41"/>
      <c r="CG114" s="41"/>
      <c r="CH114" s="41"/>
      <c r="CI114" s="41"/>
      <c r="CJ114" s="41"/>
      <c r="CK114" s="41"/>
      <c r="CL114" s="41"/>
      <c r="CM114" s="41"/>
      <c r="CN114" s="41"/>
      <c r="CO114" s="41"/>
      <c r="CP114" s="41"/>
      <c r="CQ114" s="41"/>
      <c r="CR114" s="41"/>
      <c r="CS114" s="41"/>
      <c r="CT114" s="41"/>
      <c r="CU114" s="41"/>
      <c r="CV114" s="41"/>
      <c r="CW114" s="41"/>
      <c r="CX114" s="41"/>
      <c r="CY114" s="41"/>
      <c r="CZ114" s="41"/>
      <c r="DA114" s="41"/>
      <c r="DB114" s="41"/>
      <c r="DC114" s="41"/>
      <c r="DD114" s="41"/>
      <c r="DE114" s="41"/>
      <c r="DF114" s="41"/>
      <c r="DG114" s="41"/>
      <c r="DH114" s="41"/>
      <c r="DI114" s="41"/>
      <c r="DJ114" s="41"/>
      <c r="DK114" s="41"/>
      <c r="DL114" s="41"/>
      <c r="DM114" s="41"/>
      <c r="DN114" s="59">
        <v>0</v>
      </c>
      <c r="DO114" s="57"/>
      <c r="DP114" s="58"/>
    </row>
    <row r="115" spans="1:120" x14ac:dyDescent="0.3">
      <c r="A115" s="10">
        <v>112</v>
      </c>
      <c r="B115" s="11" t="s">
        <v>133</v>
      </c>
      <c r="C115" s="11">
        <v>84</v>
      </c>
      <c r="D115" s="11" t="s">
        <v>132</v>
      </c>
      <c r="E115" s="11">
        <v>2.0259999999999998</v>
      </c>
      <c r="F115" s="11">
        <v>0.86799999999999999</v>
      </c>
      <c r="G115" s="40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41"/>
      <c r="BB115" s="41"/>
      <c r="BC115" s="41"/>
      <c r="BD115" s="41"/>
      <c r="BE115" s="41"/>
      <c r="BF115" s="41"/>
      <c r="BG115" s="41"/>
      <c r="BH115" s="41"/>
      <c r="BI115" s="41"/>
      <c r="BJ115" s="41"/>
      <c r="BK115" s="41"/>
      <c r="BL115" s="41"/>
      <c r="BM115" s="41"/>
      <c r="BN115" s="41"/>
      <c r="BO115" s="41"/>
      <c r="BP115" s="41"/>
      <c r="BQ115" s="41"/>
      <c r="BR115" s="41"/>
      <c r="BS115" s="41"/>
      <c r="BT115" s="41"/>
      <c r="BU115" s="41"/>
      <c r="BV115" s="41"/>
      <c r="BW115" s="41"/>
      <c r="BX115" s="41"/>
      <c r="BY115" s="41"/>
      <c r="BZ115" s="41"/>
      <c r="CA115" s="41"/>
      <c r="CB115" s="41"/>
      <c r="CC115" s="41"/>
      <c r="CD115" s="41"/>
      <c r="CE115" s="41"/>
      <c r="CF115" s="41"/>
      <c r="CG115" s="41"/>
      <c r="CH115" s="41"/>
      <c r="CI115" s="41"/>
      <c r="CJ115" s="41"/>
      <c r="CK115" s="41"/>
      <c r="CL115" s="41"/>
      <c r="CM115" s="41"/>
      <c r="CN115" s="41"/>
      <c r="CO115" s="41"/>
      <c r="CP115" s="41"/>
      <c r="CQ115" s="41"/>
      <c r="CR115" s="41"/>
      <c r="CS115" s="41"/>
      <c r="CT115" s="41"/>
      <c r="CU115" s="41"/>
      <c r="CV115" s="41"/>
      <c r="CW115" s="41"/>
      <c r="CX115" s="41"/>
      <c r="CY115" s="41"/>
      <c r="CZ115" s="41"/>
      <c r="DA115" s="41"/>
      <c r="DB115" s="41"/>
      <c r="DC115" s="41"/>
      <c r="DD115" s="41"/>
      <c r="DE115" s="41"/>
      <c r="DF115" s="41"/>
      <c r="DG115" s="41"/>
      <c r="DH115" s="41"/>
      <c r="DI115" s="41"/>
      <c r="DJ115" s="41"/>
      <c r="DK115" s="41"/>
      <c r="DL115" s="41"/>
      <c r="DM115" s="41"/>
      <c r="DN115" s="41"/>
      <c r="DO115" s="59">
        <v>0</v>
      </c>
      <c r="DP115" s="58"/>
    </row>
    <row r="116" spans="1:120" x14ac:dyDescent="0.3">
      <c r="A116" s="12">
        <v>113</v>
      </c>
      <c r="B116" s="13" t="s">
        <v>131</v>
      </c>
      <c r="C116" s="13">
        <v>85</v>
      </c>
      <c r="D116" s="13" t="s">
        <v>131</v>
      </c>
      <c r="E116" s="13">
        <v>5.774</v>
      </c>
      <c r="F116" s="13">
        <v>4.9320000000000004</v>
      </c>
      <c r="G116" s="42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43"/>
      <c r="BI116" s="43"/>
      <c r="BJ116" s="43"/>
      <c r="BK116" s="43"/>
      <c r="BL116" s="43"/>
      <c r="BM116" s="43"/>
      <c r="BN116" s="43"/>
      <c r="BO116" s="43"/>
      <c r="BP116" s="43"/>
      <c r="BQ116" s="43"/>
      <c r="BR116" s="43"/>
      <c r="BS116" s="43"/>
      <c r="BT116" s="43"/>
      <c r="BU116" s="43"/>
      <c r="BV116" s="43"/>
      <c r="BW116" s="43"/>
      <c r="BX116" s="43"/>
      <c r="BY116" s="43"/>
      <c r="BZ116" s="43"/>
      <c r="CA116" s="43"/>
      <c r="CB116" s="43"/>
      <c r="CC116" s="43"/>
      <c r="CD116" s="43"/>
      <c r="CE116" s="43"/>
      <c r="CF116" s="43"/>
      <c r="CG116" s="43"/>
      <c r="CH116" s="43"/>
      <c r="CI116" s="43"/>
      <c r="CJ116" s="43"/>
      <c r="CK116" s="43"/>
      <c r="CL116" s="43"/>
      <c r="CM116" s="43"/>
      <c r="CN116" s="43"/>
      <c r="CO116" s="43"/>
      <c r="CP116" s="43"/>
      <c r="CQ116" s="43"/>
      <c r="CR116" s="43"/>
      <c r="CS116" s="43"/>
      <c r="CT116" s="43"/>
      <c r="CU116" s="43"/>
      <c r="CV116" s="43"/>
      <c r="CW116" s="43"/>
      <c r="CX116" s="43"/>
      <c r="CY116" s="43"/>
      <c r="CZ116" s="43"/>
      <c r="DA116" s="43"/>
      <c r="DB116" s="43"/>
      <c r="DC116" s="43"/>
      <c r="DD116" s="43"/>
      <c r="DE116" s="43"/>
      <c r="DF116" s="43"/>
      <c r="DG116" s="43"/>
      <c r="DH116" s="43"/>
      <c r="DI116" s="43"/>
      <c r="DJ116" s="43"/>
      <c r="DK116" s="43"/>
      <c r="DL116" s="43"/>
      <c r="DM116" s="43"/>
      <c r="DN116" s="43"/>
      <c r="DO116" s="43"/>
      <c r="DP116" s="59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617D3-B7EF-4C8D-9988-6FC40D468860}">
  <sheetPr codeName="Planilha3">
    <tabColor theme="1"/>
  </sheetPr>
  <dimension ref="A1:DW116"/>
  <sheetViews>
    <sheetView zoomScaleNormal="100" workbookViewId="0">
      <selection activeCell="I34" sqref="I34"/>
    </sheetView>
  </sheetViews>
  <sheetFormatPr defaultColWidth="0" defaultRowHeight="14.4" zeroHeight="1" x14ac:dyDescent="0.3"/>
  <cols>
    <col min="1" max="1" width="8.33203125" style="39" bestFit="1" customWidth="1"/>
    <col min="2" max="2" width="15.44140625" style="39" customWidth="1"/>
    <col min="3" max="3" width="16.5546875" style="39" customWidth="1"/>
    <col min="4" max="4" width="14.88671875" style="39" customWidth="1"/>
    <col min="5" max="5" width="9.109375" style="39" customWidth="1"/>
    <col min="6" max="6" width="9.6640625" style="39" customWidth="1"/>
    <col min="7" max="7" width="11.109375" style="39" bestFit="1" customWidth="1"/>
    <col min="8" max="21" width="9.109375" style="39" customWidth="1"/>
    <col min="22" max="22" width="9.109375" style="72" customWidth="1"/>
    <col min="23" max="29" width="9.109375" style="39" customWidth="1"/>
    <col min="30" max="30" width="9.109375" style="72" customWidth="1"/>
    <col min="31" max="34" width="9.109375" style="39" customWidth="1"/>
    <col min="35" max="42" width="9.109375" style="72" customWidth="1"/>
    <col min="43" max="64" width="9.109375" style="39" customWidth="1"/>
    <col min="65" max="67" width="9.109375" style="72" customWidth="1"/>
    <col min="68" max="69" width="9.109375" style="39" customWidth="1"/>
    <col min="70" max="73" width="9.109375" style="72" customWidth="1"/>
    <col min="74" max="74" width="9.109375" style="39" customWidth="1"/>
    <col min="75" max="120" width="9.109375" style="72" hidden="1" customWidth="1"/>
    <col min="121" max="127" width="0" style="39" hidden="1" customWidth="1"/>
    <col min="128" max="16384" width="9.109375" style="39" hidden="1"/>
  </cols>
  <sheetData>
    <row r="1" spans="1:120" x14ac:dyDescent="0.3">
      <c r="A1" s="44"/>
      <c r="B1" s="45"/>
      <c r="C1" s="45"/>
      <c r="D1" s="45"/>
      <c r="E1" s="45"/>
      <c r="F1" s="46" t="s">
        <v>136</v>
      </c>
      <c r="G1" s="20" t="s">
        <v>161</v>
      </c>
      <c r="H1" s="17">
        <v>1</v>
      </c>
      <c r="I1" s="17">
        <v>2</v>
      </c>
      <c r="J1" s="17">
        <v>3</v>
      </c>
      <c r="K1" s="17">
        <v>4</v>
      </c>
      <c r="L1" s="17">
        <v>5</v>
      </c>
      <c r="M1" s="17">
        <v>6</v>
      </c>
      <c r="N1" s="17">
        <v>7</v>
      </c>
      <c r="O1" s="17">
        <v>8</v>
      </c>
      <c r="P1" s="17">
        <v>9</v>
      </c>
      <c r="Q1" s="17">
        <v>10</v>
      </c>
      <c r="R1" s="17">
        <v>11</v>
      </c>
      <c r="S1" s="17">
        <v>12</v>
      </c>
      <c r="T1" s="17">
        <v>13</v>
      </c>
      <c r="U1" s="17">
        <v>14</v>
      </c>
      <c r="V1" s="76">
        <v>15</v>
      </c>
      <c r="W1" s="17">
        <v>16</v>
      </c>
      <c r="X1" s="17">
        <v>17</v>
      </c>
      <c r="Y1" s="17">
        <v>18</v>
      </c>
      <c r="Z1" s="17">
        <v>19</v>
      </c>
      <c r="AA1" s="17">
        <v>20</v>
      </c>
      <c r="AB1" s="17">
        <v>21</v>
      </c>
      <c r="AC1" s="17">
        <v>22</v>
      </c>
      <c r="AD1" s="76">
        <v>23</v>
      </c>
      <c r="AE1" s="17">
        <v>24</v>
      </c>
      <c r="AF1" s="17">
        <v>25</v>
      </c>
      <c r="AG1" s="17">
        <v>26</v>
      </c>
      <c r="AH1" s="17">
        <v>27</v>
      </c>
      <c r="AI1" s="76">
        <v>28</v>
      </c>
      <c r="AJ1" s="76">
        <v>29</v>
      </c>
      <c r="AK1" s="76">
        <v>30</v>
      </c>
      <c r="AL1" s="76">
        <v>31</v>
      </c>
      <c r="AM1" s="76">
        <v>32</v>
      </c>
      <c r="AN1" s="76">
        <v>33</v>
      </c>
      <c r="AO1" s="76">
        <v>34</v>
      </c>
      <c r="AP1" s="76">
        <v>35</v>
      </c>
      <c r="AQ1" s="17">
        <v>36</v>
      </c>
      <c r="AR1" s="17">
        <v>37</v>
      </c>
      <c r="AS1" s="17">
        <v>38</v>
      </c>
      <c r="AT1" s="17">
        <v>39</v>
      </c>
      <c r="AU1" s="17">
        <v>40</v>
      </c>
      <c r="AV1" s="17">
        <v>41</v>
      </c>
      <c r="AW1" s="17">
        <v>42</v>
      </c>
      <c r="AX1" s="17">
        <v>43</v>
      </c>
      <c r="AY1" s="17">
        <v>44</v>
      </c>
      <c r="AZ1" s="17">
        <v>45</v>
      </c>
      <c r="BA1" s="17">
        <v>46</v>
      </c>
      <c r="BB1" s="17">
        <v>47</v>
      </c>
      <c r="BC1" s="17">
        <v>48</v>
      </c>
      <c r="BD1" s="17">
        <v>49</v>
      </c>
      <c r="BE1" s="17">
        <v>50</v>
      </c>
      <c r="BF1" s="17">
        <v>51</v>
      </c>
      <c r="BG1" s="17">
        <v>52</v>
      </c>
      <c r="BH1" s="17">
        <v>53</v>
      </c>
      <c r="BI1" s="17">
        <v>54</v>
      </c>
      <c r="BJ1" s="17">
        <v>55</v>
      </c>
      <c r="BK1" s="17">
        <v>56</v>
      </c>
      <c r="BL1" s="17">
        <v>57</v>
      </c>
      <c r="BM1" s="76">
        <v>58</v>
      </c>
      <c r="BN1" s="76">
        <v>59</v>
      </c>
      <c r="BO1" s="76">
        <v>60</v>
      </c>
      <c r="BP1" s="17">
        <v>61</v>
      </c>
      <c r="BQ1" s="17">
        <v>62</v>
      </c>
      <c r="BR1" s="76">
        <v>63</v>
      </c>
      <c r="BS1" s="76">
        <v>64</v>
      </c>
      <c r="BT1" s="76">
        <v>65</v>
      </c>
      <c r="BU1" s="76">
        <v>66</v>
      </c>
      <c r="BV1" s="17">
        <v>67</v>
      </c>
      <c r="BW1" s="76">
        <v>68</v>
      </c>
      <c r="BX1" s="76">
        <v>69</v>
      </c>
      <c r="BY1" s="76">
        <v>70</v>
      </c>
      <c r="BZ1" s="76">
        <v>71</v>
      </c>
      <c r="CA1" s="76">
        <v>72</v>
      </c>
      <c r="CB1" s="76">
        <v>73</v>
      </c>
      <c r="CC1" s="76">
        <v>74</v>
      </c>
      <c r="CD1" s="76">
        <v>75</v>
      </c>
      <c r="CE1" s="76">
        <v>76</v>
      </c>
      <c r="CF1" s="76">
        <v>77</v>
      </c>
      <c r="CG1" s="76">
        <v>78</v>
      </c>
      <c r="CH1" s="76">
        <v>79</v>
      </c>
      <c r="CI1" s="76">
        <v>80</v>
      </c>
      <c r="CJ1" s="76">
        <v>81</v>
      </c>
      <c r="CK1" s="76">
        <v>82</v>
      </c>
      <c r="CL1" s="76">
        <v>83</v>
      </c>
      <c r="CM1" s="76">
        <v>84</v>
      </c>
      <c r="CN1" s="76">
        <v>85</v>
      </c>
      <c r="CO1" s="76">
        <v>86</v>
      </c>
      <c r="CP1" s="76">
        <v>87</v>
      </c>
      <c r="CQ1" s="76">
        <v>88</v>
      </c>
      <c r="CR1" s="76">
        <v>89</v>
      </c>
      <c r="CS1" s="76">
        <v>90</v>
      </c>
      <c r="CT1" s="76">
        <v>91</v>
      </c>
      <c r="CU1" s="76">
        <v>92</v>
      </c>
      <c r="CV1" s="76">
        <v>93</v>
      </c>
      <c r="CW1" s="76">
        <v>94</v>
      </c>
      <c r="CX1" s="76">
        <v>95</v>
      </c>
      <c r="CY1" s="76">
        <v>96</v>
      </c>
      <c r="CZ1" s="76">
        <v>97</v>
      </c>
      <c r="DA1" s="76">
        <v>98</v>
      </c>
      <c r="DB1" s="76">
        <v>99</v>
      </c>
      <c r="DC1" s="76">
        <v>100</v>
      </c>
      <c r="DD1" s="76">
        <v>101</v>
      </c>
      <c r="DE1" s="76">
        <v>102</v>
      </c>
      <c r="DF1" s="76">
        <v>103</v>
      </c>
      <c r="DG1" s="76">
        <v>104</v>
      </c>
      <c r="DH1" s="76">
        <v>105</v>
      </c>
      <c r="DI1" s="76">
        <v>106</v>
      </c>
      <c r="DJ1" s="76">
        <v>107</v>
      </c>
      <c r="DK1" s="76">
        <v>108</v>
      </c>
      <c r="DL1" s="76">
        <v>109</v>
      </c>
      <c r="DM1" s="76">
        <v>110</v>
      </c>
      <c r="DN1" s="76">
        <v>111</v>
      </c>
      <c r="DO1" s="76">
        <v>112</v>
      </c>
      <c r="DP1" s="77">
        <v>113</v>
      </c>
    </row>
    <row r="2" spans="1:120" ht="15.6" x14ac:dyDescent="0.3">
      <c r="A2" s="47" t="s">
        <v>137</v>
      </c>
      <c r="B2" s="48"/>
      <c r="C2" s="48"/>
      <c r="D2" s="48"/>
      <c r="E2" s="48"/>
      <c r="F2" s="48"/>
      <c r="G2" s="51" t="s">
        <v>168</v>
      </c>
      <c r="H2" s="11" t="s">
        <v>5</v>
      </c>
      <c r="I2" s="11" t="s">
        <v>5</v>
      </c>
      <c r="J2" s="11" t="s">
        <v>5</v>
      </c>
      <c r="K2" s="11" t="s">
        <v>5</v>
      </c>
      <c r="L2" s="11" t="s">
        <v>9</v>
      </c>
      <c r="M2" s="11" t="s">
        <v>9</v>
      </c>
      <c r="N2" s="11" t="s">
        <v>9</v>
      </c>
      <c r="O2" s="11" t="s">
        <v>9</v>
      </c>
      <c r="P2" s="11" t="s">
        <v>13</v>
      </c>
      <c r="Q2" s="11" t="s">
        <v>13</v>
      </c>
      <c r="R2" s="11" t="s">
        <v>16</v>
      </c>
      <c r="S2" s="11" t="s">
        <v>16</v>
      </c>
      <c r="T2" s="11" t="s">
        <v>16</v>
      </c>
      <c r="U2" s="11" t="s">
        <v>18</v>
      </c>
      <c r="V2" s="72" t="s">
        <v>19</v>
      </c>
      <c r="W2" s="11" t="s">
        <v>20</v>
      </c>
      <c r="X2" s="11" t="s">
        <v>21</v>
      </c>
      <c r="Y2" s="11" t="s">
        <v>23</v>
      </c>
      <c r="Z2" s="11" t="s">
        <v>23</v>
      </c>
      <c r="AA2" s="11" t="s">
        <v>24</v>
      </c>
      <c r="AB2" s="11" t="s">
        <v>148</v>
      </c>
      <c r="AC2" s="11" t="s">
        <v>148</v>
      </c>
      <c r="AD2" s="72" t="s">
        <v>28</v>
      </c>
      <c r="AE2" s="11" t="s">
        <v>30</v>
      </c>
      <c r="AF2" s="11" t="s">
        <v>30</v>
      </c>
      <c r="AG2" s="11" t="s">
        <v>30</v>
      </c>
      <c r="AH2" s="11" t="s">
        <v>30</v>
      </c>
      <c r="AI2" s="72" t="s">
        <v>35</v>
      </c>
      <c r="AJ2" s="72" t="s">
        <v>35</v>
      </c>
      <c r="AK2" s="72" t="s">
        <v>35</v>
      </c>
      <c r="AL2" s="72" t="s">
        <v>36</v>
      </c>
      <c r="AM2" s="72" t="s">
        <v>36</v>
      </c>
      <c r="AN2" s="72" t="s">
        <v>36</v>
      </c>
      <c r="AO2" s="72" t="s">
        <v>42</v>
      </c>
      <c r="AP2" s="72" t="s">
        <v>42</v>
      </c>
      <c r="AQ2" s="11" t="s">
        <v>43</v>
      </c>
      <c r="AR2" s="11" t="s">
        <v>47</v>
      </c>
      <c r="AS2" s="11" t="s">
        <v>47</v>
      </c>
      <c r="AT2" s="11" t="s">
        <v>47</v>
      </c>
      <c r="AU2" s="11" t="s">
        <v>48</v>
      </c>
      <c r="AV2" s="11" t="s">
        <v>48</v>
      </c>
      <c r="AW2" s="11" t="s">
        <v>51</v>
      </c>
      <c r="AX2" s="11" t="s">
        <v>51</v>
      </c>
      <c r="AY2" s="11" t="s">
        <v>53</v>
      </c>
      <c r="AZ2" s="11" t="s">
        <v>53</v>
      </c>
      <c r="BA2" s="11" t="s">
        <v>53</v>
      </c>
      <c r="BB2" s="11" t="s">
        <v>56</v>
      </c>
      <c r="BC2" s="11" t="s">
        <v>56</v>
      </c>
      <c r="BD2" s="11" t="s">
        <v>56</v>
      </c>
      <c r="BE2" s="11" t="s">
        <v>59</v>
      </c>
      <c r="BF2" s="11" t="s">
        <v>59</v>
      </c>
      <c r="BG2" s="11" t="s">
        <v>61</v>
      </c>
      <c r="BH2" s="11" t="s">
        <v>62</v>
      </c>
      <c r="BI2" s="11" t="s">
        <v>63</v>
      </c>
      <c r="BJ2" s="11" t="s">
        <v>63</v>
      </c>
      <c r="BK2" s="11" t="s">
        <v>63</v>
      </c>
      <c r="BL2" s="11" t="s">
        <v>67</v>
      </c>
      <c r="BM2" s="72" t="s">
        <v>68</v>
      </c>
      <c r="BN2" s="72" t="s">
        <v>69</v>
      </c>
      <c r="BO2" s="72" t="s">
        <v>69</v>
      </c>
      <c r="BP2" s="11" t="s">
        <v>71</v>
      </c>
      <c r="BQ2" s="11" t="s">
        <v>73</v>
      </c>
      <c r="BR2" s="72" t="s">
        <v>74</v>
      </c>
      <c r="BS2" s="72" t="s">
        <v>75</v>
      </c>
      <c r="BT2" s="72" t="s">
        <v>81</v>
      </c>
      <c r="BU2" s="72" t="s">
        <v>81</v>
      </c>
      <c r="BV2" s="11" t="s">
        <v>76</v>
      </c>
      <c r="BW2" s="72" t="s">
        <v>77</v>
      </c>
      <c r="BX2" s="72" t="s">
        <v>78</v>
      </c>
      <c r="BY2" s="72" t="s">
        <v>82</v>
      </c>
      <c r="BZ2" s="72" t="s">
        <v>83</v>
      </c>
      <c r="CA2" s="72" t="s">
        <v>84</v>
      </c>
      <c r="CB2" s="72" t="s">
        <v>84</v>
      </c>
      <c r="CC2" s="72" t="s">
        <v>88</v>
      </c>
      <c r="CD2" s="72" t="s">
        <v>88</v>
      </c>
      <c r="CE2" s="72" t="s">
        <v>88</v>
      </c>
      <c r="CF2" s="72" t="s">
        <v>90</v>
      </c>
      <c r="CG2" s="72" t="s">
        <v>91</v>
      </c>
      <c r="CH2" s="72" t="s">
        <v>91</v>
      </c>
      <c r="CI2" s="72" t="s">
        <v>91</v>
      </c>
      <c r="CJ2" s="72" t="s">
        <v>91</v>
      </c>
      <c r="CK2" s="72" t="s">
        <v>95</v>
      </c>
      <c r="CL2" s="72" t="s">
        <v>95</v>
      </c>
      <c r="CM2" s="72" t="s">
        <v>95</v>
      </c>
      <c r="CN2" s="72" t="s">
        <v>98</v>
      </c>
      <c r="CO2" s="72" t="s">
        <v>100</v>
      </c>
      <c r="CP2" s="72" t="s">
        <v>100</v>
      </c>
      <c r="CQ2" s="72" t="s">
        <v>100</v>
      </c>
      <c r="CR2" s="72" t="s">
        <v>100</v>
      </c>
      <c r="CS2" s="72" t="s">
        <v>100</v>
      </c>
      <c r="CT2" s="72" t="s">
        <v>100</v>
      </c>
      <c r="CU2" s="72" t="s">
        <v>100</v>
      </c>
      <c r="CV2" s="72" t="s">
        <v>100</v>
      </c>
      <c r="CW2" s="72" t="s">
        <v>108</v>
      </c>
      <c r="CX2" s="72" t="s">
        <v>108</v>
      </c>
      <c r="CY2" s="72" t="s">
        <v>108</v>
      </c>
      <c r="CZ2" s="72" t="s">
        <v>108</v>
      </c>
      <c r="DA2" s="72" t="s">
        <v>108</v>
      </c>
      <c r="DB2" s="72" t="s">
        <v>108</v>
      </c>
      <c r="DC2" s="72" t="s">
        <v>115</v>
      </c>
      <c r="DD2" s="72" t="s">
        <v>115</v>
      </c>
      <c r="DE2" s="72" t="s">
        <v>119</v>
      </c>
      <c r="DF2" s="72" t="s">
        <v>119</v>
      </c>
      <c r="DG2" s="72" t="s">
        <v>119</v>
      </c>
      <c r="DH2" s="72" t="s">
        <v>123</v>
      </c>
      <c r="DI2" s="72" t="s">
        <v>122</v>
      </c>
      <c r="DJ2" s="72" t="s">
        <v>122</v>
      </c>
      <c r="DK2" s="72" t="s">
        <v>122</v>
      </c>
      <c r="DL2" s="72" t="s">
        <v>127</v>
      </c>
      <c r="DM2" s="72" t="s">
        <v>128</v>
      </c>
      <c r="DN2" s="72" t="s">
        <v>128</v>
      </c>
      <c r="DO2" s="72" t="s">
        <v>132</v>
      </c>
      <c r="DP2" s="74" t="s">
        <v>131</v>
      </c>
    </row>
    <row r="3" spans="1:120" x14ac:dyDescent="0.3">
      <c r="A3" s="49" t="s">
        <v>161</v>
      </c>
      <c r="B3" s="50" t="s">
        <v>168</v>
      </c>
      <c r="C3" s="50" t="s">
        <v>162</v>
      </c>
      <c r="D3" s="50" t="s">
        <v>163</v>
      </c>
      <c r="E3" s="50" t="s">
        <v>134</v>
      </c>
      <c r="F3" s="50" t="s">
        <v>135</v>
      </c>
      <c r="G3" s="52" t="s">
        <v>169</v>
      </c>
      <c r="H3" s="54"/>
      <c r="I3" s="55" t="s">
        <v>138</v>
      </c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76"/>
      <c r="W3" s="54"/>
      <c r="X3" s="54"/>
      <c r="Y3" s="54"/>
      <c r="Z3" s="54"/>
      <c r="AA3" s="54"/>
      <c r="AB3" s="54"/>
      <c r="AC3" s="54"/>
      <c r="AD3" s="76"/>
      <c r="AE3" s="54"/>
      <c r="AF3" s="54"/>
      <c r="AG3" s="54"/>
      <c r="AH3" s="54"/>
      <c r="AI3" s="76"/>
      <c r="AJ3" s="76"/>
      <c r="AK3" s="76"/>
      <c r="AL3" s="76"/>
      <c r="AM3" s="76"/>
      <c r="AN3" s="76"/>
      <c r="AO3" s="76"/>
      <c r="AP3" s="76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76"/>
      <c r="BN3" s="76"/>
      <c r="BO3" s="76"/>
      <c r="BP3" s="54"/>
      <c r="BQ3" s="54"/>
      <c r="BR3" s="76"/>
      <c r="BS3" s="76"/>
      <c r="BT3" s="76"/>
      <c r="BU3" s="76"/>
      <c r="BV3" s="54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  <c r="CO3" s="76"/>
      <c r="CP3" s="76"/>
      <c r="CQ3" s="76"/>
      <c r="CR3" s="76"/>
      <c r="CS3" s="76"/>
      <c r="CT3" s="76"/>
      <c r="CU3" s="76"/>
      <c r="CV3" s="76"/>
      <c r="CW3" s="76"/>
      <c r="CX3" s="76"/>
      <c r="CY3" s="76"/>
      <c r="CZ3" s="76"/>
      <c r="DA3" s="76"/>
      <c r="DB3" s="76"/>
      <c r="DC3" s="76"/>
      <c r="DD3" s="76"/>
      <c r="DE3" s="76"/>
      <c r="DF3" s="76"/>
      <c r="DG3" s="76"/>
      <c r="DH3" s="76"/>
      <c r="DI3" s="76"/>
      <c r="DJ3" s="76"/>
      <c r="DK3" s="76"/>
      <c r="DL3" s="76"/>
      <c r="DM3" s="76"/>
      <c r="DN3" s="76"/>
      <c r="DO3" s="76"/>
      <c r="DP3" s="77"/>
    </row>
    <row r="4" spans="1:120" ht="15.6" x14ac:dyDescent="0.3">
      <c r="A4" s="10">
        <v>1</v>
      </c>
      <c r="B4" s="11" t="s">
        <v>4</v>
      </c>
      <c r="C4" s="11">
        <v>1</v>
      </c>
      <c r="D4" s="11" t="s">
        <v>5</v>
      </c>
      <c r="E4" s="11">
        <v>0.90110000000000001</v>
      </c>
      <c r="F4" s="11">
        <v>0.84799999999999998</v>
      </c>
      <c r="G4" s="40"/>
      <c r="H4" s="59">
        <v>0</v>
      </c>
      <c r="I4" s="57">
        <v>0</v>
      </c>
      <c r="J4" s="57">
        <v>0</v>
      </c>
      <c r="K4" s="57">
        <v>0</v>
      </c>
      <c r="L4" s="57" t="s">
        <v>146</v>
      </c>
      <c r="M4" s="57" t="s">
        <v>146</v>
      </c>
      <c r="N4" s="57" t="s">
        <v>146</v>
      </c>
      <c r="O4" s="57" t="s">
        <v>146</v>
      </c>
      <c r="P4" s="57">
        <v>156.5</v>
      </c>
      <c r="Q4" s="57">
        <v>156.5</v>
      </c>
      <c r="R4" s="57" t="s">
        <v>147</v>
      </c>
      <c r="S4" s="57" t="s">
        <v>147</v>
      </c>
      <c r="T4" s="57" t="s">
        <v>147</v>
      </c>
      <c r="U4" s="57">
        <v>328.2</v>
      </c>
      <c r="W4" s="57">
        <v>342.4</v>
      </c>
      <c r="X4" s="57">
        <v>-159.80000000000001</v>
      </c>
      <c r="Y4" s="57">
        <v>66.56</v>
      </c>
      <c r="Z4" s="57">
        <v>66.56</v>
      </c>
      <c r="AA4" s="57">
        <v>146.1</v>
      </c>
      <c r="AB4" s="57">
        <v>-320.10000000000002</v>
      </c>
      <c r="AC4" s="57">
        <v>-320.10000000000002</v>
      </c>
      <c r="AE4" s="57">
        <v>1571</v>
      </c>
      <c r="AF4" s="57">
        <v>1571</v>
      </c>
      <c r="AG4" s="57">
        <v>1571</v>
      </c>
      <c r="AH4" s="57">
        <v>1571</v>
      </c>
      <c r="AQ4" s="57">
        <v>175.8</v>
      </c>
      <c r="AR4" s="57">
        <v>-128.80000000000001</v>
      </c>
      <c r="AS4" s="57">
        <v>-128.80000000000001</v>
      </c>
      <c r="AT4" s="57">
        <v>-128.80000000000001</v>
      </c>
      <c r="AU4" s="57">
        <v>29.08</v>
      </c>
      <c r="AV4" s="57">
        <v>29.08</v>
      </c>
      <c r="AW4" s="57">
        <v>1744</v>
      </c>
      <c r="AX4" s="57">
        <v>1744</v>
      </c>
      <c r="AY4" s="57">
        <v>73.8</v>
      </c>
      <c r="AZ4" s="57">
        <v>73.8</v>
      </c>
      <c r="BA4" s="57">
        <v>73.8</v>
      </c>
      <c r="BB4" s="57">
        <v>27.9</v>
      </c>
      <c r="BC4" s="57">
        <v>27.9</v>
      </c>
      <c r="BD4" s="57">
        <v>27.9</v>
      </c>
      <c r="BE4" s="57">
        <v>21.23</v>
      </c>
      <c r="BF4" s="57">
        <v>21.23</v>
      </c>
      <c r="BG4" s="57">
        <v>89.97</v>
      </c>
      <c r="BH4" s="57">
        <v>-59.06</v>
      </c>
      <c r="BI4" s="57">
        <v>94.34</v>
      </c>
      <c r="BJ4" s="57">
        <v>94.34</v>
      </c>
      <c r="BK4" s="57">
        <v>94.34</v>
      </c>
      <c r="BL4" s="57">
        <v>193.6</v>
      </c>
      <c r="BP4" s="57">
        <v>14.78</v>
      </c>
      <c r="BQ4" s="57">
        <v>108.5</v>
      </c>
      <c r="BV4" s="57">
        <v>36.42</v>
      </c>
      <c r="DP4" s="75"/>
    </row>
    <row r="5" spans="1:120" ht="15.6" x14ac:dyDescent="0.3">
      <c r="A5" s="10">
        <v>2</v>
      </c>
      <c r="B5" s="11" t="s">
        <v>5</v>
      </c>
      <c r="C5" s="11">
        <v>1</v>
      </c>
      <c r="D5" s="11" t="s">
        <v>5</v>
      </c>
      <c r="E5" s="11">
        <v>0.6744</v>
      </c>
      <c r="F5" s="11">
        <v>0.54</v>
      </c>
      <c r="G5" s="53" t="s">
        <v>139</v>
      </c>
      <c r="H5" s="41">
        <v>0</v>
      </c>
      <c r="I5" s="59">
        <v>0</v>
      </c>
      <c r="J5" s="57">
        <v>0</v>
      </c>
      <c r="K5" s="57">
        <v>0</v>
      </c>
      <c r="L5" s="57" t="s">
        <v>146</v>
      </c>
      <c r="M5" s="57" t="s">
        <v>146</v>
      </c>
      <c r="N5" s="57" t="s">
        <v>146</v>
      </c>
      <c r="O5" s="57" t="s">
        <v>146</v>
      </c>
      <c r="P5" s="57">
        <v>156.5</v>
      </c>
      <c r="Q5" s="57">
        <v>156.5</v>
      </c>
      <c r="R5" s="57" t="s">
        <v>147</v>
      </c>
      <c r="S5" s="57" t="s">
        <v>147</v>
      </c>
      <c r="T5" s="57" t="s">
        <v>147</v>
      </c>
      <c r="U5" s="57">
        <v>328.2</v>
      </c>
      <c r="W5" s="57">
        <v>342.4</v>
      </c>
      <c r="X5" s="57">
        <v>-159.80000000000001</v>
      </c>
      <c r="Y5" s="57">
        <v>66.56</v>
      </c>
      <c r="Z5" s="57">
        <v>66.56</v>
      </c>
      <c r="AA5" s="57">
        <v>146.1</v>
      </c>
      <c r="AB5" s="57">
        <v>-320.10000000000002</v>
      </c>
      <c r="AC5" s="57">
        <v>-320.10000000000002</v>
      </c>
      <c r="AE5" s="57">
        <v>1571</v>
      </c>
      <c r="AF5" s="57">
        <v>1571</v>
      </c>
      <c r="AG5" s="57">
        <v>1571</v>
      </c>
      <c r="AH5" s="57">
        <v>1571</v>
      </c>
      <c r="AQ5" s="57">
        <v>175.8</v>
      </c>
      <c r="AR5" s="57">
        <v>-128.80000000000001</v>
      </c>
      <c r="AS5" s="57">
        <v>-128.80000000000001</v>
      </c>
      <c r="AT5" s="57">
        <v>-128.80000000000001</v>
      </c>
      <c r="AU5" s="57">
        <v>29.08</v>
      </c>
      <c r="AV5" s="57">
        <v>29.08</v>
      </c>
      <c r="AW5" s="57">
        <v>1744</v>
      </c>
      <c r="AX5" s="57">
        <v>1744</v>
      </c>
      <c r="AY5" s="57">
        <v>73.8</v>
      </c>
      <c r="AZ5" s="57">
        <v>73.8</v>
      </c>
      <c r="BA5" s="57">
        <v>73.8</v>
      </c>
      <c r="BB5" s="57">
        <v>27.9</v>
      </c>
      <c r="BC5" s="57">
        <v>27.9</v>
      </c>
      <c r="BD5" s="57">
        <v>27.9</v>
      </c>
      <c r="BE5" s="57">
        <v>21.23</v>
      </c>
      <c r="BF5" s="57">
        <v>21.23</v>
      </c>
      <c r="BG5" s="57">
        <v>89.97</v>
      </c>
      <c r="BH5" s="57">
        <v>-59.06</v>
      </c>
      <c r="BI5" s="57">
        <v>94.34</v>
      </c>
      <c r="BJ5" s="57">
        <v>94.34</v>
      </c>
      <c r="BK5" s="57">
        <v>94.34</v>
      </c>
      <c r="BL5" s="57">
        <v>193.6</v>
      </c>
      <c r="BP5" s="57">
        <v>14.78</v>
      </c>
      <c r="BQ5" s="57">
        <v>108.5</v>
      </c>
      <c r="BV5" s="57">
        <v>36.42</v>
      </c>
      <c r="DP5" s="75"/>
    </row>
    <row r="6" spans="1:120" ht="15.6" x14ac:dyDescent="0.3">
      <c r="A6" s="10">
        <v>3</v>
      </c>
      <c r="B6" s="11" t="s">
        <v>6</v>
      </c>
      <c r="C6" s="11">
        <v>1</v>
      </c>
      <c r="D6" s="11" t="s">
        <v>5</v>
      </c>
      <c r="E6" s="11">
        <v>0.44690000000000002</v>
      </c>
      <c r="F6" s="11">
        <v>0.22800000000000001</v>
      </c>
      <c r="G6" s="40"/>
      <c r="H6" s="41">
        <v>0</v>
      </c>
      <c r="I6" s="41">
        <v>0</v>
      </c>
      <c r="J6" s="59">
        <v>0</v>
      </c>
      <c r="K6" s="57">
        <v>0</v>
      </c>
      <c r="L6" s="57" t="s">
        <v>146</v>
      </c>
      <c r="M6" s="57" t="s">
        <v>146</v>
      </c>
      <c r="N6" s="57" t="s">
        <v>146</v>
      </c>
      <c r="O6" s="57" t="s">
        <v>146</v>
      </c>
      <c r="P6" s="57">
        <v>156.5</v>
      </c>
      <c r="Q6" s="57">
        <v>156.5</v>
      </c>
      <c r="R6" s="57" t="s">
        <v>147</v>
      </c>
      <c r="S6" s="57" t="s">
        <v>147</v>
      </c>
      <c r="T6" s="57" t="s">
        <v>147</v>
      </c>
      <c r="U6" s="57">
        <v>328.2</v>
      </c>
      <c r="W6" s="57">
        <v>342.4</v>
      </c>
      <c r="X6" s="57">
        <v>-159.80000000000001</v>
      </c>
      <c r="Y6" s="57">
        <v>66.56</v>
      </c>
      <c r="Z6" s="57">
        <v>66.56</v>
      </c>
      <c r="AA6" s="57">
        <v>146.1</v>
      </c>
      <c r="AB6" s="57">
        <v>-320.10000000000002</v>
      </c>
      <c r="AC6" s="57">
        <v>-320.10000000000002</v>
      </c>
      <c r="AE6" s="57">
        <v>1571</v>
      </c>
      <c r="AF6" s="57">
        <v>1571</v>
      </c>
      <c r="AG6" s="57">
        <v>1571</v>
      </c>
      <c r="AH6" s="57">
        <v>1571</v>
      </c>
      <c r="AQ6" s="57">
        <v>175.8</v>
      </c>
      <c r="AR6" s="57">
        <v>-128.80000000000001</v>
      </c>
      <c r="AS6" s="57">
        <v>-128.80000000000001</v>
      </c>
      <c r="AT6" s="57">
        <v>-128.80000000000001</v>
      </c>
      <c r="AU6" s="57">
        <v>29.08</v>
      </c>
      <c r="AV6" s="57">
        <v>29.08</v>
      </c>
      <c r="AW6" s="57">
        <v>1744</v>
      </c>
      <c r="AX6" s="57">
        <v>1744</v>
      </c>
      <c r="AY6" s="57">
        <v>73.8</v>
      </c>
      <c r="AZ6" s="57">
        <v>73.8</v>
      </c>
      <c r="BA6" s="57">
        <v>73.8</v>
      </c>
      <c r="BB6" s="57">
        <v>27.9</v>
      </c>
      <c r="BC6" s="57">
        <v>27.9</v>
      </c>
      <c r="BD6" s="57">
        <v>27.9</v>
      </c>
      <c r="BE6" s="57">
        <v>21.23</v>
      </c>
      <c r="BF6" s="57">
        <v>21.23</v>
      </c>
      <c r="BG6" s="57">
        <v>89.97</v>
      </c>
      <c r="BH6" s="57">
        <v>-59.06</v>
      </c>
      <c r="BI6" s="57">
        <v>94.34</v>
      </c>
      <c r="BJ6" s="57">
        <v>94.34</v>
      </c>
      <c r="BK6" s="57">
        <v>94.34</v>
      </c>
      <c r="BL6" s="57">
        <v>193.6</v>
      </c>
      <c r="BP6" s="57">
        <v>14.78</v>
      </c>
      <c r="BQ6" s="57">
        <v>108.5</v>
      </c>
      <c r="BV6" s="57">
        <v>36.42</v>
      </c>
      <c r="DP6" s="75"/>
    </row>
    <row r="7" spans="1:120" ht="15.6" x14ac:dyDescent="0.3">
      <c r="A7" s="10">
        <v>4</v>
      </c>
      <c r="B7" s="11" t="s">
        <v>7</v>
      </c>
      <c r="C7" s="11">
        <v>1</v>
      </c>
      <c r="D7" s="11" t="s">
        <v>5</v>
      </c>
      <c r="E7" s="11">
        <v>0.2195</v>
      </c>
      <c r="F7" s="11">
        <v>0</v>
      </c>
      <c r="G7" s="40"/>
      <c r="H7" s="41">
        <v>0</v>
      </c>
      <c r="I7" s="41">
        <v>0</v>
      </c>
      <c r="J7" s="41">
        <v>0</v>
      </c>
      <c r="K7" s="59">
        <v>0</v>
      </c>
      <c r="L7" s="57" t="s">
        <v>146</v>
      </c>
      <c r="M7" s="57" t="s">
        <v>146</v>
      </c>
      <c r="N7" s="57" t="s">
        <v>146</v>
      </c>
      <c r="O7" s="57" t="s">
        <v>146</v>
      </c>
      <c r="P7" s="57">
        <v>156.5</v>
      </c>
      <c r="Q7" s="57">
        <v>156.5</v>
      </c>
      <c r="R7" s="57" t="s">
        <v>147</v>
      </c>
      <c r="S7" s="57" t="s">
        <v>147</v>
      </c>
      <c r="T7" s="57" t="s">
        <v>147</v>
      </c>
      <c r="U7" s="57">
        <v>328.2</v>
      </c>
      <c r="W7" s="57">
        <v>342.4</v>
      </c>
      <c r="X7" s="57">
        <v>-159.80000000000001</v>
      </c>
      <c r="Y7" s="57">
        <v>66.56</v>
      </c>
      <c r="Z7" s="57">
        <v>66.56</v>
      </c>
      <c r="AA7" s="57">
        <v>146.1</v>
      </c>
      <c r="AB7" s="57">
        <v>-320.10000000000002</v>
      </c>
      <c r="AC7" s="57">
        <v>-320.10000000000002</v>
      </c>
      <c r="AE7" s="57">
        <v>1571</v>
      </c>
      <c r="AF7" s="57">
        <v>1571</v>
      </c>
      <c r="AG7" s="57">
        <v>1571</v>
      </c>
      <c r="AH7" s="57">
        <v>1571</v>
      </c>
      <c r="AQ7" s="57">
        <v>175.8</v>
      </c>
      <c r="AR7" s="57">
        <v>-128.80000000000001</v>
      </c>
      <c r="AS7" s="57">
        <v>-128.80000000000001</v>
      </c>
      <c r="AT7" s="57">
        <v>-128.80000000000001</v>
      </c>
      <c r="AU7" s="57">
        <v>29.08</v>
      </c>
      <c r="AV7" s="57">
        <v>29.08</v>
      </c>
      <c r="AW7" s="57">
        <v>1744</v>
      </c>
      <c r="AX7" s="57">
        <v>1744</v>
      </c>
      <c r="AY7" s="57">
        <v>73.8</v>
      </c>
      <c r="AZ7" s="57">
        <v>73.8</v>
      </c>
      <c r="BA7" s="57">
        <v>73.8</v>
      </c>
      <c r="BB7" s="57">
        <v>27.9</v>
      </c>
      <c r="BC7" s="57">
        <v>27.9</v>
      </c>
      <c r="BD7" s="57">
        <v>27.9</v>
      </c>
      <c r="BE7" s="57">
        <v>21.23</v>
      </c>
      <c r="BF7" s="57">
        <v>21.23</v>
      </c>
      <c r="BG7" s="57">
        <v>89.97</v>
      </c>
      <c r="BH7" s="57">
        <v>-59.06</v>
      </c>
      <c r="BI7" s="57">
        <v>94.34</v>
      </c>
      <c r="BJ7" s="57">
        <v>94.34</v>
      </c>
      <c r="BK7" s="57">
        <v>94.34</v>
      </c>
      <c r="BL7" s="57">
        <v>193.6</v>
      </c>
      <c r="BP7" s="57">
        <v>14.78</v>
      </c>
      <c r="BQ7" s="57">
        <v>108.5</v>
      </c>
      <c r="BV7" s="57">
        <v>36.42</v>
      </c>
      <c r="DP7" s="75"/>
    </row>
    <row r="8" spans="1:120" ht="15.6" x14ac:dyDescent="0.3">
      <c r="A8" s="10">
        <v>5</v>
      </c>
      <c r="B8" s="11" t="s">
        <v>8</v>
      </c>
      <c r="C8" s="11">
        <v>2</v>
      </c>
      <c r="D8" s="11" t="s">
        <v>9</v>
      </c>
      <c r="E8" s="11">
        <v>1.3453999999999999</v>
      </c>
      <c r="F8" s="11">
        <v>1.1759999999999999</v>
      </c>
      <c r="G8" s="40"/>
      <c r="H8" s="41">
        <v>74.5</v>
      </c>
      <c r="I8" s="41">
        <v>74.5</v>
      </c>
      <c r="J8" s="41">
        <v>74.5</v>
      </c>
      <c r="K8" s="41">
        <v>74.5</v>
      </c>
      <c r="L8" s="59">
        <v>0</v>
      </c>
      <c r="M8" s="57">
        <v>0</v>
      </c>
      <c r="N8" s="57">
        <v>0</v>
      </c>
      <c r="O8" s="57">
        <v>0</v>
      </c>
      <c r="P8" s="57">
        <v>-94.78</v>
      </c>
      <c r="Q8" s="57">
        <v>-94.78</v>
      </c>
      <c r="R8" s="57">
        <v>-269.7</v>
      </c>
      <c r="S8" s="57">
        <v>-269.7</v>
      </c>
      <c r="T8" s="57">
        <v>-269.7</v>
      </c>
      <c r="U8" s="57">
        <v>470.7</v>
      </c>
      <c r="W8" s="57">
        <v>220.6</v>
      </c>
      <c r="X8" s="57"/>
      <c r="Y8" s="57">
        <v>306.10000000000002</v>
      </c>
      <c r="Z8" s="57">
        <v>306.10000000000002</v>
      </c>
      <c r="AA8" s="57">
        <v>517</v>
      </c>
      <c r="AB8" s="57">
        <v>485.6</v>
      </c>
      <c r="AC8" s="57">
        <v>485.6</v>
      </c>
      <c r="AE8" s="57">
        <v>76.44</v>
      </c>
      <c r="AF8" s="57">
        <v>76.44</v>
      </c>
      <c r="AG8" s="57">
        <v>76.44</v>
      </c>
      <c r="AH8" s="57">
        <v>76.44</v>
      </c>
      <c r="AQ8" s="57"/>
      <c r="AR8" s="57"/>
      <c r="AS8" s="57"/>
      <c r="AT8" s="57"/>
      <c r="AU8" s="57">
        <v>34.76</v>
      </c>
      <c r="AV8" s="57">
        <v>34.76</v>
      </c>
      <c r="AW8" s="57">
        <v>-48.52</v>
      </c>
      <c r="AX8" s="57">
        <v>-48.52</v>
      </c>
      <c r="AY8" s="57">
        <v>-24.36</v>
      </c>
      <c r="AZ8" s="57">
        <v>-24.36</v>
      </c>
      <c r="BA8" s="57">
        <v>-24.36</v>
      </c>
      <c r="BB8" s="57">
        <v>-52.71</v>
      </c>
      <c r="BC8" s="57">
        <v>-52.71</v>
      </c>
      <c r="BD8" s="57">
        <v>-52.71</v>
      </c>
      <c r="BE8" s="57">
        <v>-185.1</v>
      </c>
      <c r="BF8" s="57">
        <v>-185.1</v>
      </c>
      <c r="BG8" s="57">
        <v>-293.7</v>
      </c>
      <c r="BH8" s="57"/>
      <c r="BI8" s="57">
        <v>375.4</v>
      </c>
      <c r="BJ8" s="57">
        <v>375.4</v>
      </c>
      <c r="BK8" s="57">
        <v>375.4</v>
      </c>
      <c r="BL8" s="57"/>
      <c r="BP8" s="57"/>
      <c r="BQ8" s="57"/>
      <c r="BV8" s="57">
        <v>60.82</v>
      </c>
      <c r="DP8" s="75"/>
    </row>
    <row r="9" spans="1:120" ht="15.6" x14ac:dyDescent="0.3">
      <c r="A9" s="10">
        <v>6</v>
      </c>
      <c r="B9" s="11" t="s">
        <v>10</v>
      </c>
      <c r="C9" s="11">
        <v>2</v>
      </c>
      <c r="D9" s="11" t="s">
        <v>9</v>
      </c>
      <c r="E9" s="11">
        <v>1.1167</v>
      </c>
      <c r="F9" s="11">
        <v>0.86699999999999999</v>
      </c>
      <c r="G9" s="40"/>
      <c r="H9" s="41">
        <v>74.5</v>
      </c>
      <c r="I9" s="41">
        <v>74.5</v>
      </c>
      <c r="J9" s="41">
        <v>74.5</v>
      </c>
      <c r="K9" s="41">
        <v>74.5</v>
      </c>
      <c r="L9" s="41">
        <v>0</v>
      </c>
      <c r="M9" s="59">
        <v>0</v>
      </c>
      <c r="N9" s="57">
        <v>0</v>
      </c>
      <c r="O9" s="57">
        <v>0</v>
      </c>
      <c r="P9" s="57">
        <v>-94.78</v>
      </c>
      <c r="Q9" s="57">
        <v>-94.78</v>
      </c>
      <c r="R9" s="57">
        <v>-269.7</v>
      </c>
      <c r="S9" s="57">
        <v>-269.7</v>
      </c>
      <c r="T9" s="57">
        <v>-269.7</v>
      </c>
      <c r="U9" s="57">
        <v>470.7</v>
      </c>
      <c r="W9" s="57">
        <v>220.6</v>
      </c>
      <c r="X9" s="57"/>
      <c r="Y9" s="57">
        <v>306.10000000000002</v>
      </c>
      <c r="Z9" s="57">
        <v>306.10000000000002</v>
      </c>
      <c r="AA9" s="57">
        <v>517</v>
      </c>
      <c r="AB9" s="57">
        <v>485.6</v>
      </c>
      <c r="AC9" s="57">
        <v>485.6</v>
      </c>
      <c r="AE9" s="57">
        <v>76.44</v>
      </c>
      <c r="AF9" s="57">
        <v>76.44</v>
      </c>
      <c r="AG9" s="57">
        <v>76.44</v>
      </c>
      <c r="AH9" s="57">
        <v>76.44</v>
      </c>
      <c r="AQ9" s="57"/>
      <c r="AR9" s="57"/>
      <c r="AS9" s="57"/>
      <c r="AT9" s="57"/>
      <c r="AU9" s="57">
        <v>34.76</v>
      </c>
      <c r="AV9" s="57">
        <v>34.76</v>
      </c>
      <c r="AW9" s="57">
        <v>-48.52</v>
      </c>
      <c r="AX9" s="57">
        <v>-48.52</v>
      </c>
      <c r="AY9" s="57">
        <v>-24.36</v>
      </c>
      <c r="AZ9" s="57">
        <v>-24.36</v>
      </c>
      <c r="BA9" s="57">
        <v>-24.36</v>
      </c>
      <c r="BB9" s="57">
        <v>-52.71</v>
      </c>
      <c r="BC9" s="57">
        <v>-52.71</v>
      </c>
      <c r="BD9" s="57">
        <v>-52.71</v>
      </c>
      <c r="BE9" s="57">
        <v>-185.1</v>
      </c>
      <c r="BF9" s="57">
        <v>-185.1</v>
      </c>
      <c r="BG9" s="57">
        <v>-293.7</v>
      </c>
      <c r="BH9" s="57"/>
      <c r="BI9" s="57">
        <v>375.4</v>
      </c>
      <c r="BJ9" s="57">
        <v>375.4</v>
      </c>
      <c r="BK9" s="57">
        <v>375.4</v>
      </c>
      <c r="BL9" s="57"/>
      <c r="BP9" s="57"/>
      <c r="BQ9" s="57"/>
      <c r="BV9" s="57">
        <v>60.82</v>
      </c>
      <c r="DP9" s="75"/>
    </row>
    <row r="10" spans="1:120" ht="15.6" x14ac:dyDescent="0.3">
      <c r="A10" s="10">
        <v>7</v>
      </c>
      <c r="B10" s="11" t="s">
        <v>11</v>
      </c>
      <c r="C10" s="11">
        <v>2</v>
      </c>
      <c r="D10" s="11" t="s">
        <v>9</v>
      </c>
      <c r="E10" s="11">
        <v>1.1173</v>
      </c>
      <c r="F10" s="11">
        <v>0.98799999999999999</v>
      </c>
      <c r="G10" s="40"/>
      <c r="H10" s="41">
        <v>74.5</v>
      </c>
      <c r="I10" s="41">
        <v>74.5</v>
      </c>
      <c r="J10" s="41">
        <v>74.5</v>
      </c>
      <c r="K10" s="41">
        <v>74.5</v>
      </c>
      <c r="L10" s="41">
        <v>0</v>
      </c>
      <c r="M10" s="41">
        <v>0</v>
      </c>
      <c r="N10" s="59">
        <v>0</v>
      </c>
      <c r="O10" s="57">
        <v>0</v>
      </c>
      <c r="P10" s="57">
        <v>-94.78</v>
      </c>
      <c r="Q10" s="57">
        <v>-94.78</v>
      </c>
      <c r="R10" s="57">
        <v>-269.7</v>
      </c>
      <c r="S10" s="57">
        <v>-269.7</v>
      </c>
      <c r="T10" s="57">
        <v>-269.7</v>
      </c>
      <c r="U10" s="57">
        <v>470.7</v>
      </c>
      <c r="W10" s="57">
        <v>220.6</v>
      </c>
      <c r="X10" s="57"/>
      <c r="Y10" s="57">
        <v>306.10000000000002</v>
      </c>
      <c r="Z10" s="57">
        <v>306.10000000000002</v>
      </c>
      <c r="AA10" s="57">
        <v>517</v>
      </c>
      <c r="AB10" s="57">
        <v>485.6</v>
      </c>
      <c r="AC10" s="57">
        <v>485.6</v>
      </c>
      <c r="AE10" s="57">
        <v>76.44</v>
      </c>
      <c r="AF10" s="57">
        <v>76.44</v>
      </c>
      <c r="AG10" s="57">
        <v>76.44</v>
      </c>
      <c r="AH10" s="57">
        <v>76.44</v>
      </c>
      <c r="AQ10" s="57"/>
      <c r="AR10" s="57"/>
      <c r="AS10" s="57"/>
      <c r="AT10" s="57"/>
      <c r="AU10" s="57">
        <v>34.76</v>
      </c>
      <c r="AV10" s="57">
        <v>34.76</v>
      </c>
      <c r="AW10" s="57">
        <v>-48.52</v>
      </c>
      <c r="AX10" s="57">
        <v>-48.52</v>
      </c>
      <c r="AY10" s="57">
        <v>-24.36</v>
      </c>
      <c r="AZ10" s="57">
        <v>-24.36</v>
      </c>
      <c r="BA10" s="57">
        <v>-24.36</v>
      </c>
      <c r="BB10" s="57">
        <v>-52.71</v>
      </c>
      <c r="BC10" s="57">
        <v>-52.71</v>
      </c>
      <c r="BD10" s="57">
        <v>-52.71</v>
      </c>
      <c r="BE10" s="57">
        <v>-185.1</v>
      </c>
      <c r="BF10" s="57">
        <v>-185.1</v>
      </c>
      <c r="BG10" s="57">
        <v>-293.7</v>
      </c>
      <c r="BH10" s="57"/>
      <c r="BI10" s="57">
        <v>375.4</v>
      </c>
      <c r="BJ10" s="57">
        <v>375.4</v>
      </c>
      <c r="BK10" s="57">
        <v>375.4</v>
      </c>
      <c r="BL10" s="57"/>
      <c r="BP10" s="57"/>
      <c r="BQ10" s="57"/>
      <c r="BV10" s="57">
        <v>60.82</v>
      </c>
      <c r="DP10" s="75"/>
    </row>
    <row r="11" spans="1:120" ht="15.6" x14ac:dyDescent="0.3">
      <c r="A11" s="10">
        <v>8</v>
      </c>
      <c r="B11" s="11" t="s">
        <v>12</v>
      </c>
      <c r="C11" s="11">
        <v>2</v>
      </c>
      <c r="D11" s="11" t="s">
        <v>9</v>
      </c>
      <c r="E11" s="11">
        <v>0.88859999999999995</v>
      </c>
      <c r="F11" s="11">
        <v>0.67600000000000005</v>
      </c>
      <c r="G11" s="40"/>
      <c r="H11" s="41">
        <v>74.5</v>
      </c>
      <c r="I11" s="41">
        <v>74.5</v>
      </c>
      <c r="J11" s="41">
        <v>74.5</v>
      </c>
      <c r="K11" s="41">
        <v>74.5</v>
      </c>
      <c r="L11" s="41">
        <v>0</v>
      </c>
      <c r="M11" s="41">
        <v>0</v>
      </c>
      <c r="N11" s="41">
        <v>0</v>
      </c>
      <c r="O11" s="59">
        <v>0</v>
      </c>
      <c r="P11" s="57">
        <v>-94.78</v>
      </c>
      <c r="Q11" s="57">
        <v>-94.78</v>
      </c>
      <c r="R11" s="57">
        <v>-269.7</v>
      </c>
      <c r="S11" s="57">
        <v>-269.7</v>
      </c>
      <c r="T11" s="57">
        <v>-269.7</v>
      </c>
      <c r="U11" s="57">
        <v>470.7</v>
      </c>
      <c r="W11" s="57">
        <v>220.6</v>
      </c>
      <c r="X11" s="57"/>
      <c r="Y11" s="57">
        <v>306.10000000000002</v>
      </c>
      <c r="Z11" s="57">
        <v>306.10000000000002</v>
      </c>
      <c r="AA11" s="57">
        <v>517</v>
      </c>
      <c r="AB11" s="57">
        <v>485.6</v>
      </c>
      <c r="AC11" s="57">
        <v>485.6</v>
      </c>
      <c r="AE11" s="57">
        <v>76.44</v>
      </c>
      <c r="AF11" s="57">
        <v>76.44</v>
      </c>
      <c r="AG11" s="57">
        <v>76.44</v>
      </c>
      <c r="AH11" s="57">
        <v>76.44</v>
      </c>
      <c r="AQ11" s="57"/>
      <c r="AR11" s="57"/>
      <c r="AS11" s="57"/>
      <c r="AT11" s="57"/>
      <c r="AU11" s="57">
        <v>34.76</v>
      </c>
      <c r="AV11" s="57">
        <v>34.76</v>
      </c>
      <c r="AW11" s="57">
        <v>-48.52</v>
      </c>
      <c r="AX11" s="57">
        <v>-48.52</v>
      </c>
      <c r="AY11" s="57">
        <v>-24.36</v>
      </c>
      <c r="AZ11" s="57">
        <v>-24.36</v>
      </c>
      <c r="BA11" s="57">
        <v>-24.36</v>
      </c>
      <c r="BB11" s="57">
        <v>-52.71</v>
      </c>
      <c r="BC11" s="57">
        <v>-52.71</v>
      </c>
      <c r="BD11" s="57">
        <v>-52.71</v>
      </c>
      <c r="BE11" s="57">
        <v>-185.1</v>
      </c>
      <c r="BF11" s="57">
        <v>-185.1</v>
      </c>
      <c r="BG11" s="57">
        <v>-293.7</v>
      </c>
      <c r="BH11" s="57"/>
      <c r="BI11" s="57">
        <v>375.4</v>
      </c>
      <c r="BJ11" s="57">
        <v>375.4</v>
      </c>
      <c r="BK11" s="57">
        <v>375.4</v>
      </c>
      <c r="BL11" s="57"/>
      <c r="BP11" s="57"/>
      <c r="BQ11" s="57"/>
      <c r="BV11" s="57">
        <v>60.82</v>
      </c>
      <c r="DP11" s="75"/>
    </row>
    <row r="12" spans="1:120" x14ac:dyDescent="0.3">
      <c r="A12" s="10">
        <v>9</v>
      </c>
      <c r="B12" s="11" t="s">
        <v>13</v>
      </c>
      <c r="C12" s="11">
        <v>3</v>
      </c>
      <c r="D12" s="11" t="s">
        <v>13</v>
      </c>
      <c r="E12" s="11">
        <v>0.53129999999999999</v>
      </c>
      <c r="F12" s="11">
        <v>0.4</v>
      </c>
      <c r="G12" s="40"/>
      <c r="H12" s="41">
        <v>-114.8</v>
      </c>
      <c r="I12" s="41">
        <v>-114.8</v>
      </c>
      <c r="J12" s="41">
        <v>-114.8</v>
      </c>
      <c r="K12" s="41">
        <v>-114.8</v>
      </c>
      <c r="L12" s="41">
        <v>340.7</v>
      </c>
      <c r="M12" s="41">
        <v>340.7</v>
      </c>
      <c r="N12" s="41">
        <v>340.7</v>
      </c>
      <c r="O12" s="41">
        <v>340.7</v>
      </c>
      <c r="P12" s="59">
        <v>0</v>
      </c>
      <c r="Q12" s="57">
        <v>0</v>
      </c>
      <c r="R12" s="57">
        <v>-146.80000000000001</v>
      </c>
      <c r="S12" s="57">
        <v>-146.80000000000001</v>
      </c>
      <c r="T12" s="57">
        <v>-146.80000000000001</v>
      </c>
      <c r="U12" s="57">
        <v>-9.2100000000000009</v>
      </c>
      <c r="W12" s="57">
        <v>372.8</v>
      </c>
      <c r="X12" s="57">
        <v>-473.2</v>
      </c>
      <c r="Y12" s="57">
        <v>-78.31</v>
      </c>
      <c r="Z12" s="57">
        <v>-78.31</v>
      </c>
      <c r="AA12" s="57">
        <v>-75.3</v>
      </c>
      <c r="AB12" s="57">
        <v>114.8</v>
      </c>
      <c r="AC12" s="57">
        <v>114.8</v>
      </c>
      <c r="AE12" s="57">
        <v>52.13</v>
      </c>
      <c r="AF12" s="57">
        <v>52.13</v>
      </c>
      <c r="AG12" s="57">
        <v>52.13</v>
      </c>
      <c r="AH12" s="57">
        <v>52.13</v>
      </c>
      <c r="AQ12" s="57">
        <v>-218.9</v>
      </c>
      <c r="AR12" s="57">
        <v>-225.3</v>
      </c>
      <c r="AS12" s="57">
        <v>-225.3</v>
      </c>
      <c r="AT12" s="57">
        <v>-225.3</v>
      </c>
      <c r="AU12" s="57">
        <v>56.41</v>
      </c>
      <c r="AV12" s="57">
        <v>56.41</v>
      </c>
      <c r="AW12" s="57">
        <v>75.489999999999995</v>
      </c>
      <c r="AX12" s="57">
        <v>75.489999999999995</v>
      </c>
      <c r="AY12" s="57">
        <v>4.68</v>
      </c>
      <c r="AZ12" s="57">
        <v>4.68</v>
      </c>
      <c r="BA12" s="57">
        <v>4.68</v>
      </c>
      <c r="BB12" s="57"/>
      <c r="BC12" s="57"/>
      <c r="BD12" s="57"/>
      <c r="BE12" s="57">
        <v>288.5</v>
      </c>
      <c r="BF12" s="57">
        <v>288.5</v>
      </c>
      <c r="BG12" s="57">
        <v>-4.7</v>
      </c>
      <c r="BH12" s="57">
        <v>777.8</v>
      </c>
      <c r="BI12" s="57">
        <v>113.6</v>
      </c>
      <c r="BJ12" s="57">
        <v>113.6</v>
      </c>
      <c r="BK12" s="57">
        <v>113.6</v>
      </c>
      <c r="BL12" s="57">
        <v>7.18</v>
      </c>
      <c r="BP12" s="57">
        <v>-184.9</v>
      </c>
      <c r="BQ12" s="57">
        <v>247.3</v>
      </c>
      <c r="BV12" s="57">
        <v>29.77</v>
      </c>
      <c r="DP12" s="75"/>
    </row>
    <row r="13" spans="1:120" x14ac:dyDescent="0.3">
      <c r="A13" s="10">
        <v>10</v>
      </c>
      <c r="B13" s="11" t="s">
        <v>14</v>
      </c>
      <c r="C13" s="11">
        <v>3</v>
      </c>
      <c r="D13" s="11" t="s">
        <v>13</v>
      </c>
      <c r="E13" s="11">
        <v>0.36520000000000002</v>
      </c>
      <c r="F13" s="11">
        <v>0.12</v>
      </c>
      <c r="G13" s="40"/>
      <c r="H13" s="41">
        <v>-114.8</v>
      </c>
      <c r="I13" s="41">
        <v>-114.8</v>
      </c>
      <c r="J13" s="41">
        <v>-114.8</v>
      </c>
      <c r="K13" s="41">
        <v>-114.8</v>
      </c>
      <c r="L13" s="41">
        <v>340.7</v>
      </c>
      <c r="M13" s="41">
        <v>340.7</v>
      </c>
      <c r="N13" s="41">
        <v>340.7</v>
      </c>
      <c r="O13" s="41">
        <v>340.7</v>
      </c>
      <c r="P13" s="41">
        <v>0</v>
      </c>
      <c r="Q13" s="59">
        <v>0</v>
      </c>
      <c r="R13" s="57">
        <v>-146.80000000000001</v>
      </c>
      <c r="S13" s="57">
        <v>-146.80000000000001</v>
      </c>
      <c r="T13" s="57">
        <v>-146.80000000000001</v>
      </c>
      <c r="U13" s="57">
        <v>-9.2100000000000009</v>
      </c>
      <c r="W13" s="57">
        <v>372.8</v>
      </c>
      <c r="X13" s="57">
        <v>-473.2</v>
      </c>
      <c r="Y13" s="57">
        <v>-78.31</v>
      </c>
      <c r="Z13" s="57">
        <v>-78.31</v>
      </c>
      <c r="AA13" s="57">
        <v>-75.3</v>
      </c>
      <c r="AB13" s="57">
        <v>114.8</v>
      </c>
      <c r="AC13" s="57">
        <v>114.8</v>
      </c>
      <c r="AE13" s="57">
        <v>52.13</v>
      </c>
      <c r="AF13" s="57">
        <v>52.13</v>
      </c>
      <c r="AG13" s="57">
        <v>52.13</v>
      </c>
      <c r="AH13" s="57">
        <v>52.13</v>
      </c>
      <c r="AQ13" s="57">
        <v>-218.9</v>
      </c>
      <c r="AR13" s="57">
        <v>-225.3</v>
      </c>
      <c r="AS13" s="57">
        <v>-225.3</v>
      </c>
      <c r="AT13" s="57">
        <v>-225.3</v>
      </c>
      <c r="AU13" s="57">
        <v>56.41</v>
      </c>
      <c r="AV13" s="57">
        <v>56.41</v>
      </c>
      <c r="AW13" s="57">
        <v>75.489999999999995</v>
      </c>
      <c r="AX13" s="57">
        <v>75.489999999999995</v>
      </c>
      <c r="AY13" s="57">
        <v>4.68</v>
      </c>
      <c r="AZ13" s="57">
        <v>4.68</v>
      </c>
      <c r="BA13" s="57">
        <v>4.68</v>
      </c>
      <c r="BB13" s="57"/>
      <c r="BC13" s="57"/>
      <c r="BD13" s="57"/>
      <c r="BE13" s="57">
        <v>288.5</v>
      </c>
      <c r="BF13" s="57">
        <v>288.5</v>
      </c>
      <c r="BG13" s="57">
        <v>-4.7</v>
      </c>
      <c r="BH13" s="57">
        <v>777.8</v>
      </c>
      <c r="BI13" s="57">
        <v>113.6</v>
      </c>
      <c r="BJ13" s="57">
        <v>113.6</v>
      </c>
      <c r="BK13" s="57">
        <v>113.6</v>
      </c>
      <c r="BL13" s="57">
        <v>7.18</v>
      </c>
      <c r="BP13" s="57">
        <v>-184.9</v>
      </c>
      <c r="BQ13" s="57">
        <v>247.3</v>
      </c>
      <c r="BV13" s="57">
        <v>29.77</v>
      </c>
      <c r="DP13" s="75"/>
    </row>
    <row r="14" spans="1:120" ht="15.6" x14ac:dyDescent="0.3">
      <c r="A14" s="10">
        <v>11</v>
      </c>
      <c r="B14" s="11" t="s">
        <v>15</v>
      </c>
      <c r="C14" s="11">
        <v>4</v>
      </c>
      <c r="D14" s="11" t="s">
        <v>16</v>
      </c>
      <c r="E14" s="11">
        <v>1.2663</v>
      </c>
      <c r="F14" s="11">
        <v>0.96799999999999997</v>
      </c>
      <c r="G14" s="40"/>
      <c r="H14" s="41">
        <v>-115.7</v>
      </c>
      <c r="I14" s="41">
        <v>-115.7</v>
      </c>
      <c r="J14" s="41">
        <v>-115.7</v>
      </c>
      <c r="K14" s="41">
        <v>-115.7</v>
      </c>
      <c r="L14" s="41">
        <v>4102</v>
      </c>
      <c r="M14" s="41">
        <v>4102</v>
      </c>
      <c r="N14" s="41">
        <v>4102</v>
      </c>
      <c r="O14" s="41">
        <v>4102</v>
      </c>
      <c r="P14" s="41">
        <v>167</v>
      </c>
      <c r="Q14" s="41">
        <v>167</v>
      </c>
      <c r="R14" s="59">
        <v>0</v>
      </c>
      <c r="S14" s="57">
        <v>0</v>
      </c>
      <c r="T14" s="57">
        <v>0</v>
      </c>
      <c r="U14" s="57">
        <v>1.27</v>
      </c>
      <c r="W14" s="57">
        <v>203.7</v>
      </c>
      <c r="X14" s="57">
        <v>-470.4</v>
      </c>
      <c r="Y14" s="57">
        <v>-73.87</v>
      </c>
      <c r="Z14" s="57">
        <v>-73.87</v>
      </c>
      <c r="AA14" s="57">
        <v>223.2</v>
      </c>
      <c r="AB14" s="57">
        <v>-170</v>
      </c>
      <c r="AC14" s="57">
        <v>-170</v>
      </c>
      <c r="AE14" s="57">
        <v>65.69</v>
      </c>
      <c r="AF14" s="57">
        <v>65.69</v>
      </c>
      <c r="AG14" s="57">
        <v>65.69</v>
      </c>
      <c r="AH14" s="57">
        <v>65.69</v>
      </c>
      <c r="AQ14" s="57">
        <v>15.41</v>
      </c>
      <c r="AR14" s="57">
        <v>-124.6</v>
      </c>
      <c r="AS14" s="57">
        <v>-124.6</v>
      </c>
      <c r="AT14" s="57">
        <v>-124.6</v>
      </c>
      <c r="AU14" s="57">
        <v>-53.29</v>
      </c>
      <c r="AV14" s="57">
        <v>-53.29</v>
      </c>
      <c r="AW14" s="57">
        <v>147.30000000000001</v>
      </c>
      <c r="AX14" s="57">
        <v>147.30000000000001</v>
      </c>
      <c r="AY14" s="57">
        <v>122.9</v>
      </c>
      <c r="AZ14" s="57">
        <v>122.9</v>
      </c>
      <c r="BA14" s="57">
        <v>122.9</v>
      </c>
      <c r="BB14" s="57"/>
      <c r="BC14" s="57"/>
      <c r="BD14" s="57"/>
      <c r="BE14" s="57">
        <v>33.61</v>
      </c>
      <c r="BF14" s="57">
        <v>33.61</v>
      </c>
      <c r="BG14" s="57">
        <v>134.69999999999999</v>
      </c>
      <c r="BH14" s="57">
        <v>-47.13</v>
      </c>
      <c r="BI14" s="57">
        <v>-97.05</v>
      </c>
      <c r="BJ14" s="57">
        <v>-97.05</v>
      </c>
      <c r="BK14" s="57">
        <v>-97.05</v>
      </c>
      <c r="BL14" s="57">
        <v>127.1</v>
      </c>
      <c r="BP14" s="57">
        <v>-184.9</v>
      </c>
      <c r="BQ14" s="57">
        <v>453.4</v>
      </c>
      <c r="BV14" s="57">
        <v>55.97</v>
      </c>
      <c r="DP14" s="75"/>
    </row>
    <row r="15" spans="1:120" ht="15.6" x14ac:dyDescent="0.3">
      <c r="A15" s="10">
        <v>12</v>
      </c>
      <c r="B15" s="11" t="s">
        <v>16</v>
      </c>
      <c r="C15" s="11">
        <v>4</v>
      </c>
      <c r="D15" s="11" t="s">
        <v>16</v>
      </c>
      <c r="E15" s="11">
        <v>1.0396000000000001</v>
      </c>
      <c r="F15" s="11">
        <v>0.66</v>
      </c>
      <c r="G15" s="40"/>
      <c r="H15" s="41">
        <v>-115.7</v>
      </c>
      <c r="I15" s="41">
        <v>-115.7</v>
      </c>
      <c r="J15" s="41">
        <v>-115.7</v>
      </c>
      <c r="K15" s="41">
        <v>-115.7</v>
      </c>
      <c r="L15" s="41">
        <v>4102</v>
      </c>
      <c r="M15" s="41">
        <v>4102</v>
      </c>
      <c r="N15" s="41">
        <v>4102</v>
      </c>
      <c r="O15" s="41">
        <v>4102</v>
      </c>
      <c r="P15" s="41">
        <v>167</v>
      </c>
      <c r="Q15" s="41">
        <v>167</v>
      </c>
      <c r="R15" s="41">
        <v>0</v>
      </c>
      <c r="S15" s="59">
        <v>0</v>
      </c>
      <c r="T15" s="57">
        <v>0</v>
      </c>
      <c r="U15" s="57">
        <v>1.27</v>
      </c>
      <c r="W15" s="57">
        <v>203.7</v>
      </c>
      <c r="X15" s="57">
        <v>-470.4</v>
      </c>
      <c r="Y15" s="57">
        <v>-73.87</v>
      </c>
      <c r="Z15" s="57">
        <v>-73.87</v>
      </c>
      <c r="AA15" s="57">
        <v>223.2</v>
      </c>
      <c r="AB15" s="57">
        <v>-170</v>
      </c>
      <c r="AC15" s="57">
        <v>-170</v>
      </c>
      <c r="AE15" s="57">
        <v>65.69</v>
      </c>
      <c r="AF15" s="57">
        <v>65.69</v>
      </c>
      <c r="AG15" s="57">
        <v>65.69</v>
      </c>
      <c r="AH15" s="57">
        <v>65.69</v>
      </c>
      <c r="AQ15" s="57">
        <v>15.41</v>
      </c>
      <c r="AR15" s="57">
        <v>-124.6</v>
      </c>
      <c r="AS15" s="57">
        <v>-124.6</v>
      </c>
      <c r="AT15" s="57">
        <v>-124.6</v>
      </c>
      <c r="AU15" s="57">
        <v>-53.29</v>
      </c>
      <c r="AV15" s="57">
        <v>-53.29</v>
      </c>
      <c r="AW15" s="57">
        <v>147.30000000000001</v>
      </c>
      <c r="AX15" s="57">
        <v>147.30000000000001</v>
      </c>
      <c r="AY15" s="57">
        <v>122.9</v>
      </c>
      <c r="AZ15" s="57">
        <v>122.9</v>
      </c>
      <c r="BA15" s="57">
        <v>122.9</v>
      </c>
      <c r="BB15" s="57"/>
      <c r="BC15" s="57"/>
      <c r="BD15" s="57"/>
      <c r="BE15" s="57">
        <v>33.61</v>
      </c>
      <c r="BF15" s="57">
        <v>33.61</v>
      </c>
      <c r="BG15" s="57">
        <v>134.69999999999999</v>
      </c>
      <c r="BH15" s="57">
        <v>-47.13</v>
      </c>
      <c r="BI15" s="57">
        <v>-97.05</v>
      </c>
      <c r="BJ15" s="57">
        <v>-97.05</v>
      </c>
      <c r="BK15" s="57">
        <v>-97.05</v>
      </c>
      <c r="BL15" s="57">
        <v>127.1</v>
      </c>
      <c r="BP15" s="57">
        <v>-184.9</v>
      </c>
      <c r="BQ15" s="57">
        <v>453.4</v>
      </c>
      <c r="BV15" s="57">
        <v>55.97</v>
      </c>
      <c r="DP15" s="75"/>
    </row>
    <row r="16" spans="1:120" ht="15.6" x14ac:dyDescent="0.3">
      <c r="A16" s="10">
        <v>13</v>
      </c>
      <c r="B16" s="11" t="s">
        <v>17</v>
      </c>
      <c r="C16" s="11">
        <v>4</v>
      </c>
      <c r="D16" s="11" t="s">
        <v>16</v>
      </c>
      <c r="E16" s="11">
        <v>0.81210000000000004</v>
      </c>
      <c r="F16" s="11">
        <v>0.34799999999999998</v>
      </c>
      <c r="G16" s="40"/>
      <c r="H16" s="41">
        <v>-115.7</v>
      </c>
      <c r="I16" s="41">
        <v>-115.7</v>
      </c>
      <c r="J16" s="41">
        <v>-115.7</v>
      </c>
      <c r="K16" s="41">
        <v>-115.7</v>
      </c>
      <c r="L16" s="41">
        <v>4102</v>
      </c>
      <c r="M16" s="41">
        <v>4102</v>
      </c>
      <c r="N16" s="41">
        <v>4102</v>
      </c>
      <c r="O16" s="41">
        <v>4102</v>
      </c>
      <c r="P16" s="41">
        <v>167</v>
      </c>
      <c r="Q16" s="41">
        <v>167</v>
      </c>
      <c r="R16" s="41">
        <v>0</v>
      </c>
      <c r="S16" s="41">
        <v>0</v>
      </c>
      <c r="T16" s="59">
        <v>0</v>
      </c>
      <c r="U16" s="57">
        <v>1.27</v>
      </c>
      <c r="W16" s="57">
        <v>203.7</v>
      </c>
      <c r="X16" s="57">
        <v>-470.4</v>
      </c>
      <c r="Y16" s="57">
        <v>-73.87</v>
      </c>
      <c r="Z16" s="57">
        <v>-73.87</v>
      </c>
      <c r="AA16" s="57">
        <v>223.2</v>
      </c>
      <c r="AB16" s="57">
        <v>-170</v>
      </c>
      <c r="AC16" s="57">
        <v>-170</v>
      </c>
      <c r="AE16" s="57">
        <v>65.69</v>
      </c>
      <c r="AF16" s="57">
        <v>65.69</v>
      </c>
      <c r="AG16" s="57">
        <v>65.69</v>
      </c>
      <c r="AH16" s="57">
        <v>65.69</v>
      </c>
      <c r="AQ16" s="57">
        <v>15.41</v>
      </c>
      <c r="AR16" s="57">
        <v>-124.6</v>
      </c>
      <c r="AS16" s="57">
        <v>-124.6</v>
      </c>
      <c r="AT16" s="57">
        <v>-124.6</v>
      </c>
      <c r="AU16" s="57">
        <v>-53.29</v>
      </c>
      <c r="AV16" s="57">
        <v>-53.29</v>
      </c>
      <c r="AW16" s="57">
        <v>147.30000000000001</v>
      </c>
      <c r="AX16" s="57">
        <v>147.30000000000001</v>
      </c>
      <c r="AY16" s="57">
        <v>122.9</v>
      </c>
      <c r="AZ16" s="57">
        <v>122.9</v>
      </c>
      <c r="BA16" s="57">
        <v>122.9</v>
      </c>
      <c r="BB16" s="57"/>
      <c r="BC16" s="57"/>
      <c r="BD16" s="57"/>
      <c r="BE16" s="57">
        <v>33.61</v>
      </c>
      <c r="BF16" s="57">
        <v>33.61</v>
      </c>
      <c r="BG16" s="57">
        <v>134.69999999999999</v>
      </c>
      <c r="BH16" s="57">
        <v>-47.13</v>
      </c>
      <c r="BI16" s="57">
        <v>-97.05</v>
      </c>
      <c r="BJ16" s="57">
        <v>-97.05</v>
      </c>
      <c r="BK16" s="57">
        <v>-97.05</v>
      </c>
      <c r="BL16" s="57">
        <v>127.1</v>
      </c>
      <c r="BP16" s="57">
        <v>-184.9</v>
      </c>
      <c r="BQ16" s="57">
        <v>453.4</v>
      </c>
      <c r="BV16" s="57">
        <v>55.97</v>
      </c>
      <c r="DP16" s="75"/>
    </row>
    <row r="17" spans="1:120" x14ac:dyDescent="0.3">
      <c r="A17" s="10">
        <v>14</v>
      </c>
      <c r="B17" s="11" t="s">
        <v>18</v>
      </c>
      <c r="C17" s="11">
        <v>5</v>
      </c>
      <c r="D17" s="11" t="s">
        <v>18</v>
      </c>
      <c r="E17" s="11">
        <v>1</v>
      </c>
      <c r="F17" s="11">
        <v>1.2</v>
      </c>
      <c r="G17" s="40"/>
      <c r="H17" s="41">
        <v>644.6</v>
      </c>
      <c r="I17" s="41">
        <v>644.6</v>
      </c>
      <c r="J17" s="41">
        <v>644.6</v>
      </c>
      <c r="K17" s="41">
        <v>644.6</v>
      </c>
      <c r="L17" s="41">
        <v>724.4</v>
      </c>
      <c r="M17" s="41">
        <v>724.4</v>
      </c>
      <c r="N17" s="41">
        <v>724.4</v>
      </c>
      <c r="O17" s="41">
        <v>724.4</v>
      </c>
      <c r="P17" s="41">
        <v>703.9</v>
      </c>
      <c r="Q17" s="41">
        <v>703.9</v>
      </c>
      <c r="R17" s="41">
        <v>4000</v>
      </c>
      <c r="S17" s="41">
        <v>4000</v>
      </c>
      <c r="T17" s="41">
        <v>4000</v>
      </c>
      <c r="U17" s="59">
        <v>0</v>
      </c>
      <c r="W17" s="57">
        <v>-122.4</v>
      </c>
      <c r="X17" s="57">
        <v>-63.15</v>
      </c>
      <c r="Y17" s="57">
        <v>216</v>
      </c>
      <c r="Z17" s="57">
        <v>216</v>
      </c>
      <c r="AA17" s="57">
        <v>-431.3</v>
      </c>
      <c r="AB17" s="57">
        <v>180.6</v>
      </c>
      <c r="AC17" s="57">
        <v>180.6</v>
      </c>
      <c r="AE17" s="57">
        <v>137.1</v>
      </c>
      <c r="AF17" s="57">
        <v>137.1</v>
      </c>
      <c r="AG17" s="57">
        <v>137.1</v>
      </c>
      <c r="AH17" s="57">
        <v>137.1</v>
      </c>
      <c r="AQ17" s="57">
        <v>529</v>
      </c>
      <c r="AR17" s="57">
        <v>-319.2</v>
      </c>
      <c r="AS17" s="57">
        <v>-319.2</v>
      </c>
      <c r="AT17" s="57">
        <v>-319.2</v>
      </c>
      <c r="AU17" s="57">
        <v>2011</v>
      </c>
      <c r="AV17" s="57">
        <v>2011</v>
      </c>
      <c r="AW17" s="57">
        <v>118.4</v>
      </c>
      <c r="AX17" s="57">
        <v>118.4</v>
      </c>
      <c r="AY17" s="57">
        <v>455.1</v>
      </c>
      <c r="AZ17" s="57">
        <v>455.1</v>
      </c>
      <c r="BA17" s="57">
        <v>455.1</v>
      </c>
      <c r="BB17" s="57">
        <v>669.2</v>
      </c>
      <c r="BC17" s="57">
        <v>669.2</v>
      </c>
      <c r="BD17" s="57">
        <v>669.2</v>
      </c>
      <c r="BE17" s="57">
        <v>418.4</v>
      </c>
      <c r="BF17" s="57">
        <v>418.4</v>
      </c>
      <c r="BG17" s="57">
        <v>713.5</v>
      </c>
      <c r="BH17" s="57">
        <v>1989</v>
      </c>
      <c r="BI17" s="57">
        <v>483.8</v>
      </c>
      <c r="BJ17" s="57">
        <v>483.8</v>
      </c>
      <c r="BK17" s="57">
        <v>483.8</v>
      </c>
      <c r="BL17" s="57">
        <v>332.6</v>
      </c>
      <c r="BP17" s="57">
        <v>444.7</v>
      </c>
      <c r="BQ17" s="57">
        <v>-289.3</v>
      </c>
      <c r="BV17" s="57"/>
      <c r="DP17" s="75"/>
    </row>
    <row r="18" spans="1:120" s="72" customFormat="1" ht="15.6" x14ac:dyDescent="0.3">
      <c r="A18" s="71">
        <v>15</v>
      </c>
      <c r="B18" s="72" t="s">
        <v>19</v>
      </c>
      <c r="C18" s="72">
        <v>6</v>
      </c>
      <c r="D18" s="72" t="s">
        <v>19</v>
      </c>
      <c r="E18" s="72">
        <v>1.4311</v>
      </c>
      <c r="F18" s="72">
        <v>1.4319999999999999</v>
      </c>
      <c r="G18" s="71"/>
      <c r="V18" s="80">
        <v>0</v>
      </c>
      <c r="DP18" s="75"/>
    </row>
    <row r="19" spans="1:120" ht="15.6" x14ac:dyDescent="0.3">
      <c r="A19" s="10">
        <v>16</v>
      </c>
      <c r="B19" s="11" t="s">
        <v>20</v>
      </c>
      <c r="C19" s="11">
        <v>7</v>
      </c>
      <c r="D19" s="11" t="s">
        <v>20</v>
      </c>
      <c r="E19" s="11">
        <v>0.92</v>
      </c>
      <c r="F19" s="11">
        <v>1.4</v>
      </c>
      <c r="G19" s="40"/>
      <c r="H19" s="41">
        <v>1300</v>
      </c>
      <c r="I19" s="41">
        <v>1300</v>
      </c>
      <c r="J19" s="41">
        <v>1300</v>
      </c>
      <c r="K19" s="41">
        <v>1300</v>
      </c>
      <c r="L19" s="41">
        <v>896</v>
      </c>
      <c r="M19" s="41">
        <v>896</v>
      </c>
      <c r="N19" s="41">
        <v>896</v>
      </c>
      <c r="O19" s="41">
        <v>896</v>
      </c>
      <c r="P19" s="41">
        <v>859.4</v>
      </c>
      <c r="Q19" s="41">
        <v>859.4</v>
      </c>
      <c r="R19" s="41">
        <v>5695</v>
      </c>
      <c r="S19" s="41">
        <v>5695</v>
      </c>
      <c r="T19" s="41">
        <v>5695</v>
      </c>
      <c r="U19" s="41">
        <v>28.73</v>
      </c>
      <c r="W19" s="59">
        <v>0</v>
      </c>
      <c r="X19" s="57">
        <v>-595.9</v>
      </c>
      <c r="Y19" s="57">
        <v>634.79999999999995</v>
      </c>
      <c r="Z19" s="57">
        <v>634.79999999999995</v>
      </c>
      <c r="AA19" s="57">
        <v>623.70000000000005</v>
      </c>
      <c r="AB19" s="57">
        <v>385.9</v>
      </c>
      <c r="AC19" s="57">
        <v>385.9</v>
      </c>
      <c r="AE19" s="57">
        <v>212.8</v>
      </c>
      <c r="AF19" s="57">
        <v>212.8</v>
      </c>
      <c r="AG19" s="57">
        <v>212.8</v>
      </c>
      <c r="AH19" s="57">
        <v>212.8</v>
      </c>
      <c r="AQ19" s="57">
        <v>-239.8</v>
      </c>
      <c r="AR19" s="57">
        <v>203</v>
      </c>
      <c r="AS19" s="57">
        <v>203</v>
      </c>
      <c r="AT19" s="57">
        <v>203</v>
      </c>
      <c r="AU19" s="57">
        <v>63.48</v>
      </c>
      <c r="AV19" s="57">
        <v>63.48</v>
      </c>
      <c r="AW19" s="57">
        <v>652.29999999999995</v>
      </c>
      <c r="AX19" s="57">
        <v>652.29999999999995</v>
      </c>
      <c r="AY19" s="57">
        <v>770</v>
      </c>
      <c r="AZ19" s="57">
        <v>770</v>
      </c>
      <c r="BA19" s="57">
        <v>770</v>
      </c>
      <c r="BB19" s="57">
        <v>740.4</v>
      </c>
      <c r="BC19" s="57">
        <v>740.4</v>
      </c>
      <c r="BD19" s="57">
        <v>740.4</v>
      </c>
      <c r="BE19" s="57">
        <v>793.2</v>
      </c>
      <c r="BF19" s="57">
        <v>793.2</v>
      </c>
      <c r="BG19" s="57">
        <v>12.05</v>
      </c>
      <c r="BH19" s="57">
        <v>390.7</v>
      </c>
      <c r="BI19" s="57">
        <v>13.32</v>
      </c>
      <c r="BJ19" s="57">
        <v>13.32</v>
      </c>
      <c r="BK19" s="57">
        <v>13.32</v>
      </c>
      <c r="BL19" s="57">
        <v>439.9</v>
      </c>
      <c r="BP19" s="57">
        <v>211.6</v>
      </c>
      <c r="BQ19" s="57">
        <v>-424.3</v>
      </c>
      <c r="BV19" s="57"/>
      <c r="DP19" s="75"/>
    </row>
    <row r="20" spans="1:120" x14ac:dyDescent="0.3">
      <c r="A20" s="10">
        <v>17</v>
      </c>
      <c r="B20" s="11" t="s">
        <v>21</v>
      </c>
      <c r="C20" s="11">
        <v>8</v>
      </c>
      <c r="D20" s="11" t="s">
        <v>21</v>
      </c>
      <c r="E20" s="11">
        <v>0.8952</v>
      </c>
      <c r="F20" s="11">
        <v>0.68</v>
      </c>
      <c r="G20" s="40"/>
      <c r="H20" s="41">
        <v>2255</v>
      </c>
      <c r="I20" s="41">
        <v>2255</v>
      </c>
      <c r="J20" s="41">
        <v>2255</v>
      </c>
      <c r="K20" s="41">
        <v>2255</v>
      </c>
      <c r="L20" s="41"/>
      <c r="M20" s="41"/>
      <c r="N20" s="41"/>
      <c r="O20" s="41"/>
      <c r="P20" s="41">
        <v>1649</v>
      </c>
      <c r="Q20" s="41">
        <v>1649</v>
      </c>
      <c r="R20" s="41">
        <v>292.60000000000002</v>
      </c>
      <c r="S20" s="41">
        <v>292.60000000000002</v>
      </c>
      <c r="T20" s="41">
        <v>292.60000000000002</v>
      </c>
      <c r="U20" s="41">
        <v>-195.5</v>
      </c>
      <c r="W20" s="41">
        <v>344.5</v>
      </c>
      <c r="X20" s="59">
        <v>0</v>
      </c>
      <c r="Y20" s="57">
        <v>-568</v>
      </c>
      <c r="Z20" s="57">
        <v>-568</v>
      </c>
      <c r="AA20" s="57"/>
      <c r="AB20" s="57">
        <v>-337.3</v>
      </c>
      <c r="AC20" s="57"/>
      <c r="AE20" s="57"/>
      <c r="AF20" s="57"/>
      <c r="AG20" s="57"/>
      <c r="AH20" s="57"/>
      <c r="AQ20" s="57">
        <v>-860.3</v>
      </c>
      <c r="AR20" s="57">
        <v>-222.7</v>
      </c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>
        <v>1616</v>
      </c>
      <c r="BH20" s="57"/>
      <c r="BI20" s="57"/>
      <c r="BJ20" s="57"/>
      <c r="BK20" s="57"/>
      <c r="BL20" s="57">
        <v>-230.4</v>
      </c>
      <c r="BP20" s="57"/>
      <c r="BQ20" s="57">
        <v>523</v>
      </c>
      <c r="BV20" s="57"/>
      <c r="DP20" s="75"/>
    </row>
    <row r="21" spans="1:120" ht="15.6" x14ac:dyDescent="0.3">
      <c r="A21" s="10">
        <v>18</v>
      </c>
      <c r="B21" s="11" t="s">
        <v>22</v>
      </c>
      <c r="C21" s="11">
        <v>9</v>
      </c>
      <c r="D21" s="11" t="s">
        <v>23</v>
      </c>
      <c r="E21" s="11">
        <v>1.6724000000000001</v>
      </c>
      <c r="F21" s="11">
        <v>1.488</v>
      </c>
      <c r="G21" s="40"/>
      <c r="H21" s="41">
        <v>472.6</v>
      </c>
      <c r="I21" s="41">
        <v>472.6</v>
      </c>
      <c r="J21" s="41">
        <v>472.6</v>
      </c>
      <c r="K21" s="41">
        <v>472.6</v>
      </c>
      <c r="L21" s="41">
        <v>343.7</v>
      </c>
      <c r="M21" s="41">
        <v>343.7</v>
      </c>
      <c r="N21" s="41">
        <v>343.7</v>
      </c>
      <c r="O21" s="41">
        <v>343.7</v>
      </c>
      <c r="P21" s="41">
        <v>593.70000000000005</v>
      </c>
      <c r="Q21" s="41">
        <v>593.70000000000005</v>
      </c>
      <c r="R21" s="41">
        <v>916.7</v>
      </c>
      <c r="S21" s="41">
        <v>916.7</v>
      </c>
      <c r="T21" s="41">
        <v>916.7</v>
      </c>
      <c r="U21" s="41">
        <v>67.069999999999993</v>
      </c>
      <c r="W21" s="41">
        <v>-171.8</v>
      </c>
      <c r="X21" s="41">
        <v>-825.7</v>
      </c>
      <c r="Y21" s="59">
        <v>0</v>
      </c>
      <c r="Z21" s="57">
        <v>0</v>
      </c>
      <c r="AA21" s="57">
        <v>128</v>
      </c>
      <c r="AB21" s="57">
        <v>58.84</v>
      </c>
      <c r="AC21" s="57">
        <v>58.84</v>
      </c>
      <c r="AE21" s="57">
        <v>52.38</v>
      </c>
      <c r="AF21" s="57">
        <v>52.38</v>
      </c>
      <c r="AG21" s="57">
        <v>52.38</v>
      </c>
      <c r="AH21" s="57">
        <v>52.38</v>
      </c>
      <c r="AQ21" s="57">
        <v>857.7</v>
      </c>
      <c r="AR21" s="57"/>
      <c r="AS21" s="57"/>
      <c r="AT21" s="57"/>
      <c r="AU21" s="57">
        <v>-349.2</v>
      </c>
      <c r="AV21" s="57">
        <v>-349.2</v>
      </c>
      <c r="AW21" s="57">
        <v>-101.3</v>
      </c>
      <c r="AX21" s="57">
        <v>-101.3</v>
      </c>
      <c r="AY21" s="57">
        <v>483.9</v>
      </c>
      <c r="AZ21" s="57">
        <v>483.9</v>
      </c>
      <c r="BA21" s="57">
        <v>483.9</v>
      </c>
      <c r="BB21" s="57">
        <v>550.6</v>
      </c>
      <c r="BC21" s="57">
        <v>550.6</v>
      </c>
      <c r="BD21" s="57">
        <v>550.6</v>
      </c>
      <c r="BE21" s="57">
        <v>342.2</v>
      </c>
      <c r="BF21" s="57">
        <v>342.2</v>
      </c>
      <c r="BG21" s="57">
        <v>550</v>
      </c>
      <c r="BH21" s="57">
        <v>190.5</v>
      </c>
      <c r="BI21" s="57">
        <v>377</v>
      </c>
      <c r="BJ21" s="57">
        <v>377</v>
      </c>
      <c r="BK21" s="57">
        <v>377</v>
      </c>
      <c r="BL21" s="57">
        <v>211.6</v>
      </c>
      <c r="BP21" s="57">
        <v>48.93</v>
      </c>
      <c r="BQ21" s="57">
        <v>82.77</v>
      </c>
      <c r="BV21" s="57"/>
      <c r="DP21" s="75"/>
    </row>
    <row r="22" spans="1:120" ht="15.6" x14ac:dyDescent="0.3">
      <c r="A22" s="10">
        <v>19</v>
      </c>
      <c r="B22" s="11" t="s">
        <v>23</v>
      </c>
      <c r="C22" s="11">
        <v>9</v>
      </c>
      <c r="D22" s="11" t="s">
        <v>23</v>
      </c>
      <c r="E22" s="11">
        <v>1.4457</v>
      </c>
      <c r="F22" s="11">
        <v>1.18</v>
      </c>
      <c r="G22" s="40"/>
      <c r="H22" s="41">
        <v>472.6</v>
      </c>
      <c r="I22" s="41">
        <v>472.6</v>
      </c>
      <c r="J22" s="41">
        <v>472.6</v>
      </c>
      <c r="K22" s="41">
        <v>472.6</v>
      </c>
      <c r="L22" s="41">
        <v>343.7</v>
      </c>
      <c r="M22" s="41">
        <v>343.7</v>
      </c>
      <c r="N22" s="41">
        <v>343.7</v>
      </c>
      <c r="O22" s="41">
        <v>343.7</v>
      </c>
      <c r="P22" s="41">
        <v>593.70000000000005</v>
      </c>
      <c r="Q22" s="41">
        <v>593.70000000000005</v>
      </c>
      <c r="R22" s="41">
        <v>916.7</v>
      </c>
      <c r="S22" s="41">
        <v>916.7</v>
      </c>
      <c r="T22" s="41">
        <v>916.7</v>
      </c>
      <c r="U22" s="41">
        <v>67.069999999999993</v>
      </c>
      <c r="W22" s="41">
        <v>-171.8</v>
      </c>
      <c r="X22" s="41">
        <v>-825.7</v>
      </c>
      <c r="Y22" s="41">
        <v>0</v>
      </c>
      <c r="Z22" s="59">
        <v>0</v>
      </c>
      <c r="AA22" s="57">
        <v>128</v>
      </c>
      <c r="AB22" s="57">
        <v>58.84</v>
      </c>
      <c r="AC22" s="57">
        <v>58.84</v>
      </c>
      <c r="AE22" s="57">
        <v>52.38</v>
      </c>
      <c r="AF22" s="57">
        <v>52.38</v>
      </c>
      <c r="AG22" s="57">
        <v>52.38</v>
      </c>
      <c r="AH22" s="57">
        <v>52.38</v>
      </c>
      <c r="AQ22" s="57">
        <v>857.7</v>
      </c>
      <c r="AR22" s="57"/>
      <c r="AS22" s="57"/>
      <c r="AT22" s="57"/>
      <c r="AU22" s="57">
        <v>-349.2</v>
      </c>
      <c r="AV22" s="57">
        <v>-349.2</v>
      </c>
      <c r="AW22" s="57">
        <v>-101.3</v>
      </c>
      <c r="AX22" s="57">
        <v>-101.3</v>
      </c>
      <c r="AY22" s="57">
        <v>483.9</v>
      </c>
      <c r="AZ22" s="57">
        <v>483.9</v>
      </c>
      <c r="BA22" s="57">
        <v>483.9</v>
      </c>
      <c r="BB22" s="57">
        <v>550.6</v>
      </c>
      <c r="BC22" s="57">
        <v>550.6</v>
      </c>
      <c r="BD22" s="57">
        <v>550.6</v>
      </c>
      <c r="BE22" s="57">
        <v>342.2</v>
      </c>
      <c r="BF22" s="57">
        <v>342.2</v>
      </c>
      <c r="BG22" s="57">
        <v>550</v>
      </c>
      <c r="BH22" s="57">
        <v>190.5</v>
      </c>
      <c r="BI22" s="57">
        <v>377</v>
      </c>
      <c r="BJ22" s="57">
        <v>377</v>
      </c>
      <c r="BK22" s="57">
        <v>377</v>
      </c>
      <c r="BL22" s="57">
        <v>211.6</v>
      </c>
      <c r="BP22" s="57">
        <v>48.93</v>
      </c>
      <c r="BQ22" s="57">
        <v>82.77</v>
      </c>
      <c r="BV22" s="57"/>
      <c r="DP22" s="75"/>
    </row>
    <row r="23" spans="1:120" x14ac:dyDescent="0.3">
      <c r="A23" s="10">
        <v>20</v>
      </c>
      <c r="B23" s="11" t="s">
        <v>24</v>
      </c>
      <c r="C23" s="11">
        <v>10</v>
      </c>
      <c r="D23" s="11" t="s">
        <v>24</v>
      </c>
      <c r="E23" s="11">
        <v>0.998</v>
      </c>
      <c r="F23" s="11">
        <v>0.94799999999999995</v>
      </c>
      <c r="G23" s="40"/>
      <c r="H23" s="41">
        <v>158.1</v>
      </c>
      <c r="I23" s="41">
        <v>158.1</v>
      </c>
      <c r="J23" s="41">
        <v>158.1</v>
      </c>
      <c r="K23" s="41">
        <v>158.1</v>
      </c>
      <c r="L23" s="41">
        <v>-214.7</v>
      </c>
      <c r="M23" s="41">
        <v>-214.7</v>
      </c>
      <c r="N23" s="41">
        <v>-214.7</v>
      </c>
      <c r="O23" s="41">
        <v>-214.7</v>
      </c>
      <c r="P23" s="41">
        <v>362.3</v>
      </c>
      <c r="Q23" s="41">
        <v>362.3</v>
      </c>
      <c r="R23" s="41">
        <v>1218</v>
      </c>
      <c r="S23" s="41">
        <v>1218</v>
      </c>
      <c r="T23" s="41">
        <v>1218</v>
      </c>
      <c r="U23" s="41">
        <v>14.09</v>
      </c>
      <c r="W23" s="41">
        <v>-349.9</v>
      </c>
      <c r="X23" s="41"/>
      <c r="Y23" s="41">
        <v>-37.36</v>
      </c>
      <c r="Z23" s="41">
        <v>-37.36</v>
      </c>
      <c r="AA23" s="59">
        <v>0</v>
      </c>
      <c r="AB23" s="57">
        <v>1090</v>
      </c>
      <c r="AC23" s="57"/>
      <c r="AE23" s="57"/>
      <c r="AF23" s="57"/>
      <c r="AG23" s="57"/>
      <c r="AH23" s="57"/>
      <c r="AQ23" s="57"/>
      <c r="AR23" s="57"/>
      <c r="AS23" s="57"/>
      <c r="AT23" s="57"/>
      <c r="AU23" s="57"/>
      <c r="AV23" s="57"/>
      <c r="AW23" s="57">
        <v>1051</v>
      </c>
      <c r="AX23" s="57">
        <v>1051</v>
      </c>
      <c r="AY23" s="57">
        <v>-47.51</v>
      </c>
      <c r="AZ23" s="57">
        <v>-47.51</v>
      </c>
      <c r="BA23" s="57">
        <v>-47.51</v>
      </c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P23" s="57">
        <v>-311.60000000000002</v>
      </c>
      <c r="BQ23" s="57"/>
      <c r="BV23" s="57"/>
      <c r="DP23" s="75"/>
    </row>
    <row r="24" spans="1:120" ht="15.6" x14ac:dyDescent="0.3">
      <c r="A24" s="10">
        <v>21</v>
      </c>
      <c r="B24" s="11" t="s">
        <v>25</v>
      </c>
      <c r="C24" s="11">
        <v>11</v>
      </c>
      <c r="D24" s="11" t="s">
        <v>148</v>
      </c>
      <c r="E24" s="11">
        <v>1.9031</v>
      </c>
      <c r="F24" s="11">
        <v>1.728</v>
      </c>
      <c r="G24" s="40"/>
      <c r="H24" s="41">
        <v>972.4</v>
      </c>
      <c r="I24" s="41">
        <v>972.4</v>
      </c>
      <c r="J24" s="41">
        <v>972.4</v>
      </c>
      <c r="K24" s="41">
        <v>972.4</v>
      </c>
      <c r="L24" s="41">
        <v>-577.5</v>
      </c>
      <c r="M24" s="41">
        <v>-577.5</v>
      </c>
      <c r="N24" s="41">
        <v>-577.5</v>
      </c>
      <c r="O24" s="41">
        <v>-577.5</v>
      </c>
      <c r="P24" s="41">
        <v>6</v>
      </c>
      <c r="Q24" s="41">
        <v>6</v>
      </c>
      <c r="R24" s="41">
        <v>5688</v>
      </c>
      <c r="S24" s="41">
        <v>5688</v>
      </c>
      <c r="T24" s="41">
        <v>5688</v>
      </c>
      <c r="U24" s="41">
        <v>195.6</v>
      </c>
      <c r="W24" s="41">
        <v>-6.32</v>
      </c>
      <c r="X24" s="41">
        <v>-898.3</v>
      </c>
      <c r="Y24" s="41">
        <v>258.7</v>
      </c>
      <c r="Z24" s="41">
        <v>258.7</v>
      </c>
      <c r="AA24" s="41">
        <v>-245.8</v>
      </c>
      <c r="AB24" s="59">
        <v>0</v>
      </c>
      <c r="AC24" s="57">
        <v>0</v>
      </c>
      <c r="AE24" s="57">
        <v>461.3</v>
      </c>
      <c r="AF24" s="57">
        <v>461.3</v>
      </c>
      <c r="AG24" s="57">
        <v>461.3</v>
      </c>
      <c r="AH24" s="57">
        <v>461.3</v>
      </c>
      <c r="AQ24" s="57"/>
      <c r="AR24" s="57"/>
      <c r="AS24" s="57"/>
      <c r="AT24" s="57"/>
      <c r="AU24" s="57">
        <v>2.41</v>
      </c>
      <c r="AV24" s="57">
        <v>2.41</v>
      </c>
      <c r="AW24" s="57">
        <v>1417</v>
      </c>
      <c r="AX24" s="57">
        <v>1417</v>
      </c>
      <c r="AY24" s="57"/>
      <c r="AZ24" s="57"/>
      <c r="BA24" s="57"/>
      <c r="BB24" s="57">
        <v>-132.9</v>
      </c>
      <c r="BC24" s="57">
        <v>-132.9</v>
      </c>
      <c r="BD24" s="57">
        <v>-132.9</v>
      </c>
      <c r="BE24" s="57">
        <v>176.5</v>
      </c>
      <c r="BF24" s="57">
        <v>176.5</v>
      </c>
      <c r="BG24" s="57">
        <v>129.5</v>
      </c>
      <c r="BH24" s="57">
        <v>-246.3</v>
      </c>
      <c r="BI24" s="57"/>
      <c r="BJ24" s="57"/>
      <c r="BK24" s="57"/>
      <c r="BL24" s="57"/>
      <c r="BP24" s="57">
        <v>-46.13</v>
      </c>
      <c r="BQ24" s="57">
        <v>29.86</v>
      </c>
      <c r="BV24" s="57"/>
      <c r="DP24" s="75"/>
    </row>
    <row r="25" spans="1:120" ht="15.6" x14ac:dyDescent="0.3">
      <c r="A25" s="10">
        <v>22</v>
      </c>
      <c r="B25" s="11" t="s">
        <v>26</v>
      </c>
      <c r="C25" s="11">
        <v>11</v>
      </c>
      <c r="D25" s="11" t="s">
        <v>148</v>
      </c>
      <c r="E25" s="11">
        <v>1.6763999999999999</v>
      </c>
      <c r="F25" s="11">
        <v>1.42</v>
      </c>
      <c r="G25" s="40"/>
      <c r="H25" s="41">
        <v>972.4</v>
      </c>
      <c r="I25" s="41">
        <v>972.4</v>
      </c>
      <c r="J25" s="41">
        <v>972.4</v>
      </c>
      <c r="K25" s="41">
        <v>972.4</v>
      </c>
      <c r="L25" s="41">
        <v>-577.5</v>
      </c>
      <c r="M25" s="41">
        <v>-577.5</v>
      </c>
      <c r="N25" s="41">
        <v>-577.5</v>
      </c>
      <c r="O25" s="41">
        <v>-577.5</v>
      </c>
      <c r="P25" s="41">
        <v>6</v>
      </c>
      <c r="Q25" s="41">
        <v>6</v>
      </c>
      <c r="R25" s="41">
        <v>5688</v>
      </c>
      <c r="S25" s="41">
        <v>5688</v>
      </c>
      <c r="T25" s="41">
        <v>5688</v>
      </c>
      <c r="U25" s="41">
        <v>195.6</v>
      </c>
      <c r="W25" s="41">
        <v>-6.32</v>
      </c>
      <c r="X25" s="41"/>
      <c r="Y25" s="41">
        <v>258.7</v>
      </c>
      <c r="Z25" s="41">
        <v>258.7</v>
      </c>
      <c r="AA25" s="41"/>
      <c r="AB25" s="41">
        <v>0</v>
      </c>
      <c r="AC25" s="59">
        <v>0</v>
      </c>
      <c r="AE25" s="57">
        <v>461.3</v>
      </c>
      <c r="AF25" s="57">
        <v>461.3</v>
      </c>
      <c r="AG25" s="57">
        <v>461.3</v>
      </c>
      <c r="AH25" s="57">
        <v>461.3</v>
      </c>
      <c r="AQ25" s="57"/>
      <c r="AR25" s="57"/>
      <c r="AS25" s="57"/>
      <c r="AT25" s="57"/>
      <c r="AU25" s="57">
        <v>2.41</v>
      </c>
      <c r="AV25" s="57">
        <v>2.41</v>
      </c>
      <c r="AW25" s="57">
        <v>1417</v>
      </c>
      <c r="AX25" s="57">
        <v>1417</v>
      </c>
      <c r="AY25" s="57"/>
      <c r="AZ25" s="57"/>
      <c r="BA25" s="57"/>
      <c r="BB25" s="57">
        <v>-132.9</v>
      </c>
      <c r="BC25" s="57">
        <v>-132.9</v>
      </c>
      <c r="BD25" s="57">
        <v>-132.9</v>
      </c>
      <c r="BE25" s="57">
        <v>176.5</v>
      </c>
      <c r="BF25" s="57">
        <v>176.5</v>
      </c>
      <c r="BG25" s="57">
        <v>129.5</v>
      </c>
      <c r="BH25" s="57">
        <v>-246.3</v>
      </c>
      <c r="BI25" s="57"/>
      <c r="BJ25" s="57"/>
      <c r="BK25" s="57"/>
      <c r="BL25" s="57"/>
      <c r="BP25" s="57">
        <v>-46.13</v>
      </c>
      <c r="BQ25" s="57">
        <v>29.86</v>
      </c>
      <c r="BV25" s="57"/>
      <c r="DP25" s="75"/>
    </row>
    <row r="26" spans="1:120" s="72" customFormat="1" x14ac:dyDescent="0.3">
      <c r="A26" s="71">
        <v>23</v>
      </c>
      <c r="B26" s="72" t="s">
        <v>28</v>
      </c>
      <c r="C26" s="72">
        <v>12</v>
      </c>
      <c r="D26" s="72" t="s">
        <v>28</v>
      </c>
      <c r="E26" s="72">
        <v>1.242</v>
      </c>
      <c r="F26" s="72">
        <v>1.1879999999999999</v>
      </c>
      <c r="G26" s="71"/>
      <c r="AD26" s="80">
        <v>0</v>
      </c>
      <c r="DP26" s="75"/>
    </row>
    <row r="27" spans="1:120" ht="15.6" x14ac:dyDescent="0.3">
      <c r="A27" s="10">
        <v>24</v>
      </c>
      <c r="B27" s="11" t="s">
        <v>29</v>
      </c>
      <c r="C27" s="11">
        <v>13</v>
      </c>
      <c r="D27" s="11" t="s">
        <v>30</v>
      </c>
      <c r="E27" s="11">
        <v>1.145</v>
      </c>
      <c r="F27" s="11">
        <v>1.0880000000000001</v>
      </c>
      <c r="G27" s="40"/>
      <c r="H27" s="41">
        <v>662.1</v>
      </c>
      <c r="I27" s="41">
        <v>662.1</v>
      </c>
      <c r="J27" s="41">
        <v>662.1</v>
      </c>
      <c r="K27" s="41">
        <v>662.1</v>
      </c>
      <c r="L27" s="41">
        <v>289.3</v>
      </c>
      <c r="M27" s="41">
        <v>289.3</v>
      </c>
      <c r="N27" s="41">
        <v>289.3</v>
      </c>
      <c r="O27" s="41">
        <v>289.3</v>
      </c>
      <c r="P27" s="41">
        <v>32.14</v>
      </c>
      <c r="Q27" s="41">
        <v>32.14</v>
      </c>
      <c r="R27" s="41">
        <v>213.1</v>
      </c>
      <c r="S27" s="41">
        <v>213.1</v>
      </c>
      <c r="T27" s="41">
        <v>213.1</v>
      </c>
      <c r="U27" s="41">
        <v>262.5</v>
      </c>
      <c r="W27" s="41">
        <v>64.42</v>
      </c>
      <c r="X27" s="41"/>
      <c r="Y27" s="41">
        <v>5.202</v>
      </c>
      <c r="Z27" s="41">
        <v>5.202</v>
      </c>
      <c r="AA27" s="41"/>
      <c r="AB27" s="41">
        <v>-235.7</v>
      </c>
      <c r="AC27" s="41">
        <v>-235.7</v>
      </c>
      <c r="AE27" s="59">
        <v>0</v>
      </c>
      <c r="AF27" s="57">
        <v>0</v>
      </c>
      <c r="AG27" s="57">
        <v>0</v>
      </c>
      <c r="AH27" s="57">
        <v>0</v>
      </c>
      <c r="AQ27" s="57"/>
      <c r="AR27" s="57"/>
      <c r="AS27" s="57"/>
      <c r="AT27" s="57"/>
      <c r="AU27" s="57"/>
      <c r="AV27" s="57"/>
      <c r="AW27" s="57">
        <v>1402</v>
      </c>
      <c r="AX27" s="57">
        <v>1402</v>
      </c>
      <c r="AY27" s="57">
        <v>225.4</v>
      </c>
      <c r="AZ27" s="57">
        <v>225.4</v>
      </c>
      <c r="BA27" s="57">
        <v>225.4</v>
      </c>
      <c r="BB27" s="57">
        <v>-197.7</v>
      </c>
      <c r="BC27" s="57">
        <v>-197.7</v>
      </c>
      <c r="BD27" s="57">
        <v>-197.7</v>
      </c>
      <c r="BE27" s="57">
        <v>-20.93</v>
      </c>
      <c r="BF27" s="57">
        <v>-20.93</v>
      </c>
      <c r="BG27" s="57">
        <v>113.9</v>
      </c>
      <c r="BH27" s="57"/>
      <c r="BI27" s="57">
        <v>-94.49</v>
      </c>
      <c r="BJ27" s="57">
        <v>-94.49</v>
      </c>
      <c r="BK27" s="57">
        <v>-94.49</v>
      </c>
      <c r="BL27" s="57"/>
      <c r="BP27" s="57"/>
      <c r="BQ27" s="57"/>
      <c r="BV27" s="57"/>
      <c r="DP27" s="75"/>
    </row>
    <row r="28" spans="1:120" ht="15.6" x14ac:dyDescent="0.3">
      <c r="A28" s="10">
        <v>25</v>
      </c>
      <c r="B28" s="11" t="s">
        <v>30</v>
      </c>
      <c r="C28" s="11">
        <v>13</v>
      </c>
      <c r="D28" s="11" t="s">
        <v>30</v>
      </c>
      <c r="E28" s="11">
        <v>0.91830000000000001</v>
      </c>
      <c r="F28" s="11">
        <v>0.78</v>
      </c>
      <c r="G28" s="40"/>
      <c r="H28" s="41">
        <v>662.1</v>
      </c>
      <c r="I28" s="41">
        <v>662.1</v>
      </c>
      <c r="J28" s="41">
        <v>662.1</v>
      </c>
      <c r="K28" s="41">
        <v>662.1</v>
      </c>
      <c r="L28" s="41">
        <v>289.3</v>
      </c>
      <c r="M28" s="41">
        <v>289.3</v>
      </c>
      <c r="N28" s="41">
        <v>289.3</v>
      </c>
      <c r="O28" s="41">
        <v>289.3</v>
      </c>
      <c r="P28" s="41">
        <v>32.14</v>
      </c>
      <c r="Q28" s="41">
        <v>32.14</v>
      </c>
      <c r="R28" s="41">
        <v>213.1</v>
      </c>
      <c r="S28" s="41">
        <v>213.1</v>
      </c>
      <c r="T28" s="41">
        <v>213.1</v>
      </c>
      <c r="U28" s="41">
        <v>262.5</v>
      </c>
      <c r="W28" s="41">
        <v>64.42</v>
      </c>
      <c r="X28" s="41"/>
      <c r="Y28" s="41">
        <v>5.202</v>
      </c>
      <c r="Z28" s="41">
        <v>5.202</v>
      </c>
      <c r="AA28" s="41"/>
      <c r="AB28" s="41">
        <v>-235.7</v>
      </c>
      <c r="AC28" s="41">
        <v>-235.7</v>
      </c>
      <c r="AE28" s="41">
        <v>0</v>
      </c>
      <c r="AF28" s="59">
        <v>0</v>
      </c>
      <c r="AG28" s="57">
        <v>0</v>
      </c>
      <c r="AH28" s="57">
        <v>0</v>
      </c>
      <c r="AQ28" s="57"/>
      <c r="AR28" s="57"/>
      <c r="AS28" s="57"/>
      <c r="AT28" s="57"/>
      <c r="AU28" s="57"/>
      <c r="AV28" s="57"/>
      <c r="AW28" s="57">
        <v>1402</v>
      </c>
      <c r="AX28" s="57">
        <v>1402</v>
      </c>
      <c r="AY28" s="57">
        <v>225.4</v>
      </c>
      <c r="AZ28" s="57">
        <v>225.4</v>
      </c>
      <c r="BA28" s="57">
        <v>225.4</v>
      </c>
      <c r="BB28" s="57">
        <v>-197.7</v>
      </c>
      <c r="BC28" s="57">
        <v>-197.7</v>
      </c>
      <c r="BD28" s="57">
        <v>-197.7</v>
      </c>
      <c r="BE28" s="57">
        <v>-20.93</v>
      </c>
      <c r="BF28" s="57">
        <v>-20.93</v>
      </c>
      <c r="BG28" s="57">
        <v>113.9</v>
      </c>
      <c r="BH28" s="57"/>
      <c r="BI28" s="57">
        <v>-94.49</v>
      </c>
      <c r="BJ28" s="57">
        <v>-94.49</v>
      </c>
      <c r="BK28" s="57">
        <v>-94.49</v>
      </c>
      <c r="BL28" s="57"/>
      <c r="BP28" s="57"/>
      <c r="BQ28" s="57"/>
      <c r="BV28" s="57"/>
      <c r="DP28" s="75"/>
    </row>
    <row r="29" spans="1:120" ht="15.6" x14ac:dyDescent="0.3">
      <c r="A29" s="10">
        <v>26</v>
      </c>
      <c r="B29" s="11" t="s">
        <v>24</v>
      </c>
      <c r="C29" s="11">
        <v>13</v>
      </c>
      <c r="D29" s="11" t="s">
        <v>30</v>
      </c>
      <c r="E29" s="11">
        <v>0.69079999999999997</v>
      </c>
      <c r="F29" s="11">
        <v>0.46800000000000003</v>
      </c>
      <c r="G29" s="40"/>
      <c r="H29" s="41">
        <v>662.1</v>
      </c>
      <c r="I29" s="41">
        <v>662.1</v>
      </c>
      <c r="J29" s="41">
        <v>662.1</v>
      </c>
      <c r="K29" s="41">
        <v>662.1</v>
      </c>
      <c r="L29" s="41">
        <v>289.3</v>
      </c>
      <c r="M29" s="41">
        <v>289.3</v>
      </c>
      <c r="N29" s="41">
        <v>289.3</v>
      </c>
      <c r="O29" s="41">
        <v>289.3</v>
      </c>
      <c r="P29" s="41">
        <v>32.14</v>
      </c>
      <c r="Q29" s="41">
        <v>32.14</v>
      </c>
      <c r="R29" s="41">
        <v>213.1</v>
      </c>
      <c r="S29" s="41">
        <v>213.1</v>
      </c>
      <c r="T29" s="41">
        <v>213.1</v>
      </c>
      <c r="U29" s="41">
        <v>262.5</v>
      </c>
      <c r="W29" s="41">
        <v>64.42</v>
      </c>
      <c r="X29" s="41"/>
      <c r="Y29" s="41">
        <v>5.202</v>
      </c>
      <c r="Z29" s="41">
        <v>5.202</v>
      </c>
      <c r="AA29" s="41"/>
      <c r="AB29" s="41">
        <v>-235.7</v>
      </c>
      <c r="AC29" s="41">
        <v>-235.7</v>
      </c>
      <c r="AE29" s="41">
        <v>0</v>
      </c>
      <c r="AF29" s="41">
        <v>0</v>
      </c>
      <c r="AG29" s="59">
        <v>0</v>
      </c>
      <c r="AH29" s="57">
        <v>0</v>
      </c>
      <c r="AQ29" s="57"/>
      <c r="AR29" s="57"/>
      <c r="AS29" s="57"/>
      <c r="AT29" s="57"/>
      <c r="AU29" s="57"/>
      <c r="AV29" s="57"/>
      <c r="AW29" s="57">
        <v>1402</v>
      </c>
      <c r="AX29" s="57">
        <v>1402</v>
      </c>
      <c r="AY29" s="57">
        <v>225.4</v>
      </c>
      <c r="AZ29" s="57">
        <v>225.4</v>
      </c>
      <c r="BA29" s="57">
        <v>225.4</v>
      </c>
      <c r="BB29" s="57">
        <v>-197.7</v>
      </c>
      <c r="BC29" s="57">
        <v>-197.7</v>
      </c>
      <c r="BD29" s="57">
        <v>-197.7</v>
      </c>
      <c r="BE29" s="57">
        <v>-20.93</v>
      </c>
      <c r="BF29" s="57">
        <v>-20.93</v>
      </c>
      <c r="BG29" s="57">
        <v>113.9</v>
      </c>
      <c r="BH29" s="57"/>
      <c r="BI29" s="57">
        <v>-94.49</v>
      </c>
      <c r="BJ29" s="57">
        <v>-94.49</v>
      </c>
      <c r="BK29" s="57">
        <v>-94.49</v>
      </c>
      <c r="BL29" s="57"/>
      <c r="BP29" s="57"/>
      <c r="BQ29" s="57"/>
      <c r="BV29" s="57"/>
      <c r="DP29" s="75"/>
    </row>
    <row r="30" spans="1:120" ht="15.6" x14ac:dyDescent="0.3">
      <c r="A30" s="10">
        <v>27</v>
      </c>
      <c r="B30" s="11" t="s">
        <v>31</v>
      </c>
      <c r="C30" s="11">
        <v>13</v>
      </c>
      <c r="D30" s="11" t="s">
        <v>30</v>
      </c>
      <c r="E30" s="11">
        <v>0.91830000000000001</v>
      </c>
      <c r="F30" s="11">
        <v>1.1000000000000001</v>
      </c>
      <c r="G30" s="40"/>
      <c r="H30" s="41">
        <v>662.1</v>
      </c>
      <c r="I30" s="41">
        <v>662.1</v>
      </c>
      <c r="J30" s="41">
        <v>662.1</v>
      </c>
      <c r="K30" s="41">
        <v>662.1</v>
      </c>
      <c r="L30" s="41">
        <v>289.3</v>
      </c>
      <c r="M30" s="41">
        <v>289.3</v>
      </c>
      <c r="N30" s="41">
        <v>289.3</v>
      </c>
      <c r="O30" s="41">
        <v>289.3</v>
      </c>
      <c r="P30" s="41">
        <v>32.14</v>
      </c>
      <c r="Q30" s="41">
        <v>32.14</v>
      </c>
      <c r="R30" s="41">
        <v>213.1</v>
      </c>
      <c r="S30" s="41">
        <v>213.1</v>
      </c>
      <c r="T30" s="41">
        <v>213.1</v>
      </c>
      <c r="U30" s="41">
        <v>262.5</v>
      </c>
      <c r="W30" s="41">
        <v>64.42</v>
      </c>
      <c r="X30" s="41"/>
      <c r="Y30" s="41">
        <v>5.202</v>
      </c>
      <c r="Z30" s="41">
        <v>5.202</v>
      </c>
      <c r="AA30" s="41"/>
      <c r="AB30" s="41">
        <v>-235.7</v>
      </c>
      <c r="AC30" s="41">
        <v>-235.7</v>
      </c>
      <c r="AE30" s="41">
        <v>0</v>
      </c>
      <c r="AF30" s="41">
        <v>0</v>
      </c>
      <c r="AG30" s="41">
        <v>0</v>
      </c>
      <c r="AH30" s="59">
        <v>0</v>
      </c>
      <c r="AQ30" s="57"/>
      <c r="AR30" s="57"/>
      <c r="AS30" s="57"/>
      <c r="AT30" s="57"/>
      <c r="AU30" s="57"/>
      <c r="AV30" s="57"/>
      <c r="AW30" s="57">
        <v>1402</v>
      </c>
      <c r="AX30" s="57">
        <v>1402</v>
      </c>
      <c r="AY30" s="57">
        <v>225.4</v>
      </c>
      <c r="AZ30" s="57">
        <v>225.4</v>
      </c>
      <c r="BA30" s="57">
        <v>225.4</v>
      </c>
      <c r="BB30" s="57">
        <v>-197.7</v>
      </c>
      <c r="BC30" s="57">
        <v>-197.7</v>
      </c>
      <c r="BD30" s="57">
        <v>-197.7</v>
      </c>
      <c r="BE30" s="57">
        <v>-20.93</v>
      </c>
      <c r="BF30" s="57">
        <v>-20.93</v>
      </c>
      <c r="BG30" s="57">
        <v>113.9</v>
      </c>
      <c r="BH30" s="57"/>
      <c r="BI30" s="57">
        <v>-94.49</v>
      </c>
      <c r="BJ30" s="57">
        <v>-94.49</v>
      </c>
      <c r="BK30" s="57">
        <v>-94.49</v>
      </c>
      <c r="BL30" s="57"/>
      <c r="BP30" s="57"/>
      <c r="BQ30" s="57"/>
      <c r="BV30" s="57"/>
      <c r="DP30" s="75"/>
    </row>
    <row r="31" spans="1:120" s="72" customFormat="1" ht="15.6" x14ac:dyDescent="0.3">
      <c r="A31" s="71">
        <v>28</v>
      </c>
      <c r="B31" s="72" t="s">
        <v>32</v>
      </c>
      <c r="C31" s="72">
        <v>14</v>
      </c>
      <c r="D31" s="72" t="s">
        <v>35</v>
      </c>
      <c r="E31" s="72">
        <v>1.5959000000000001</v>
      </c>
      <c r="F31" s="72">
        <v>1.544</v>
      </c>
      <c r="G31" s="71"/>
      <c r="AI31" s="80">
        <v>0</v>
      </c>
      <c r="DP31" s="75"/>
    </row>
    <row r="32" spans="1:120" s="72" customFormat="1" ht="15.6" x14ac:dyDescent="0.3">
      <c r="A32" s="71">
        <v>29</v>
      </c>
      <c r="B32" s="72" t="s">
        <v>33</v>
      </c>
      <c r="C32" s="72">
        <v>14</v>
      </c>
      <c r="D32" s="72" t="s">
        <v>35</v>
      </c>
      <c r="E32" s="72">
        <v>1.3692</v>
      </c>
      <c r="F32" s="72">
        <v>1.236</v>
      </c>
      <c r="G32" s="71"/>
      <c r="AJ32" s="80">
        <v>0</v>
      </c>
      <c r="DP32" s="75"/>
    </row>
    <row r="33" spans="1:120" s="72" customFormat="1" ht="15.6" x14ac:dyDescent="0.3">
      <c r="A33" s="71">
        <v>30</v>
      </c>
      <c r="B33" s="72" t="s">
        <v>34</v>
      </c>
      <c r="C33" s="72">
        <v>14</v>
      </c>
      <c r="D33" s="72" t="s">
        <v>35</v>
      </c>
      <c r="E33" s="72">
        <v>1.1416999999999999</v>
      </c>
      <c r="F33" s="72">
        <v>0.92400000000000004</v>
      </c>
      <c r="G33" s="71"/>
      <c r="AK33" s="80">
        <v>0</v>
      </c>
      <c r="DP33" s="75"/>
    </row>
    <row r="34" spans="1:120" s="72" customFormat="1" ht="15.6" x14ac:dyDescent="0.3">
      <c r="A34" s="71">
        <v>31</v>
      </c>
      <c r="B34" s="72" t="s">
        <v>37</v>
      </c>
      <c r="C34" s="72">
        <v>15</v>
      </c>
      <c r="D34" s="72" t="s">
        <v>36</v>
      </c>
      <c r="E34" s="72">
        <v>1.4337</v>
      </c>
      <c r="F34" s="72">
        <v>1.244</v>
      </c>
      <c r="G34" s="71"/>
      <c r="AL34" s="80">
        <v>0</v>
      </c>
      <c r="DP34" s="75"/>
    </row>
    <row r="35" spans="1:120" s="72" customFormat="1" ht="15.6" x14ac:dyDescent="0.3">
      <c r="A35" s="71">
        <v>32</v>
      </c>
      <c r="B35" s="72" t="s">
        <v>38</v>
      </c>
      <c r="C35" s="72">
        <v>15</v>
      </c>
      <c r="D35" s="72" t="s">
        <v>36</v>
      </c>
      <c r="E35" s="72">
        <v>1.2070000000000001</v>
      </c>
      <c r="F35" s="72">
        <v>0.93600000000000005</v>
      </c>
      <c r="G35" s="71"/>
      <c r="AM35" s="80">
        <v>0</v>
      </c>
      <c r="DP35" s="75"/>
    </row>
    <row r="36" spans="1:120" s="72" customFormat="1" x14ac:dyDescent="0.3">
      <c r="A36" s="71">
        <v>33</v>
      </c>
      <c r="B36" s="72" t="s">
        <v>39</v>
      </c>
      <c r="C36" s="72">
        <v>15</v>
      </c>
      <c r="D36" s="72" t="s">
        <v>36</v>
      </c>
      <c r="E36" s="72">
        <v>0.97950000000000004</v>
      </c>
      <c r="F36" s="72">
        <v>0.624</v>
      </c>
      <c r="G36" s="71"/>
      <c r="AN36" s="80">
        <v>0</v>
      </c>
      <c r="DP36" s="75"/>
    </row>
    <row r="37" spans="1:120" s="72" customFormat="1" ht="15.6" x14ac:dyDescent="0.3">
      <c r="A37" s="71">
        <v>34</v>
      </c>
      <c r="B37" s="72" t="s">
        <v>40</v>
      </c>
      <c r="C37" s="72">
        <v>16</v>
      </c>
      <c r="D37" s="72" t="s">
        <v>42</v>
      </c>
      <c r="E37" s="72">
        <v>1.1865000000000001</v>
      </c>
      <c r="F37" s="72">
        <v>0.94</v>
      </c>
      <c r="G37" s="71"/>
      <c r="AO37" s="80">
        <v>0</v>
      </c>
      <c r="DP37" s="75"/>
    </row>
    <row r="38" spans="1:120" s="72" customFormat="1" ht="15.6" x14ac:dyDescent="0.3">
      <c r="A38" s="71">
        <v>35</v>
      </c>
      <c r="B38" s="72" t="s">
        <v>41</v>
      </c>
      <c r="C38" s="72">
        <v>16</v>
      </c>
      <c r="D38" s="72" t="s">
        <v>42</v>
      </c>
      <c r="E38" s="72">
        <v>0.9597</v>
      </c>
      <c r="F38" s="72">
        <v>0.63200000000000001</v>
      </c>
      <c r="G38" s="71"/>
      <c r="AP38" s="80">
        <v>0</v>
      </c>
      <c r="DP38" s="75"/>
    </row>
    <row r="39" spans="1:120" ht="15.6" x14ac:dyDescent="0.3">
      <c r="A39" s="10">
        <v>36</v>
      </c>
      <c r="B39" s="11" t="s">
        <v>43</v>
      </c>
      <c r="C39" s="11">
        <v>17</v>
      </c>
      <c r="D39" s="11" t="s">
        <v>43</v>
      </c>
      <c r="E39" s="11">
        <v>1.06</v>
      </c>
      <c r="F39" s="11">
        <v>0.81599999999999995</v>
      </c>
      <c r="G39" s="40"/>
      <c r="H39" s="41">
        <v>902.2</v>
      </c>
      <c r="I39" s="41">
        <v>902.2</v>
      </c>
      <c r="J39" s="41">
        <v>902.2</v>
      </c>
      <c r="K39" s="41">
        <v>902.2</v>
      </c>
      <c r="L39" s="41"/>
      <c r="M39" s="41"/>
      <c r="N39" s="41"/>
      <c r="O39" s="41"/>
      <c r="P39" s="41">
        <v>1.64</v>
      </c>
      <c r="Q39" s="41">
        <v>1.64</v>
      </c>
      <c r="R39" s="41">
        <v>689.6</v>
      </c>
      <c r="S39" s="41">
        <v>689.6</v>
      </c>
      <c r="T39" s="41">
        <v>689.6</v>
      </c>
      <c r="U39" s="41">
        <v>-348.2</v>
      </c>
      <c r="W39" s="41">
        <v>-109.8</v>
      </c>
      <c r="X39" s="41">
        <v>-851.6</v>
      </c>
      <c r="Y39" s="41">
        <v>1010</v>
      </c>
      <c r="Z39" s="41">
        <v>1010</v>
      </c>
      <c r="AA39" s="41"/>
      <c r="AB39" s="41"/>
      <c r="AC39" s="41"/>
      <c r="AE39" s="41"/>
      <c r="AF39" s="41"/>
      <c r="AG39" s="41"/>
      <c r="AH39" s="41"/>
      <c r="AQ39" s="59">
        <v>0</v>
      </c>
      <c r="AR39" s="57">
        <v>-944.9</v>
      </c>
      <c r="AS39" s="57"/>
      <c r="AT39" s="57"/>
      <c r="AU39" s="57"/>
      <c r="AV39" s="57"/>
      <c r="AW39" s="57">
        <v>681.4</v>
      </c>
      <c r="AX39" s="57">
        <v>681.4</v>
      </c>
      <c r="AY39" s="57"/>
      <c r="AZ39" s="57"/>
      <c r="BA39" s="57"/>
      <c r="BB39" s="57"/>
      <c r="BC39" s="57"/>
      <c r="BD39" s="57"/>
      <c r="BE39" s="57">
        <v>-16.3</v>
      </c>
      <c r="BF39" s="57">
        <v>-16.3</v>
      </c>
      <c r="BG39" s="57">
        <v>8455</v>
      </c>
      <c r="BH39" s="57"/>
      <c r="BI39" s="57"/>
      <c r="BJ39" s="57"/>
      <c r="BK39" s="57"/>
      <c r="BL39" s="57">
        <v>175.8</v>
      </c>
      <c r="BP39" s="57"/>
      <c r="BQ39" s="57">
        <v>164.4</v>
      </c>
      <c r="BV39" s="57"/>
      <c r="DP39" s="75"/>
    </row>
    <row r="40" spans="1:120" ht="15.6" x14ac:dyDescent="0.3">
      <c r="A40" s="10">
        <v>37</v>
      </c>
      <c r="B40" s="11" t="s">
        <v>44</v>
      </c>
      <c r="C40" s="11">
        <v>18</v>
      </c>
      <c r="D40" s="11" t="s">
        <v>47</v>
      </c>
      <c r="E40" s="11">
        <v>2.9992999999999999</v>
      </c>
      <c r="F40" s="11">
        <v>2.113</v>
      </c>
      <c r="G40" s="40"/>
      <c r="H40" s="41">
        <v>-300</v>
      </c>
      <c r="I40" s="41">
        <v>-300</v>
      </c>
      <c r="J40" s="41">
        <v>-300</v>
      </c>
      <c r="K40" s="41">
        <v>-300</v>
      </c>
      <c r="L40" s="41"/>
      <c r="M40" s="41"/>
      <c r="N40" s="41"/>
      <c r="O40" s="41"/>
      <c r="P40" s="41">
        <v>-578.20000000000005</v>
      </c>
      <c r="Q40" s="41">
        <v>-578.20000000000005</v>
      </c>
      <c r="R40" s="41">
        <v>-390.7</v>
      </c>
      <c r="S40" s="41">
        <v>-390.7</v>
      </c>
      <c r="T40" s="41">
        <v>-390.7</v>
      </c>
      <c r="U40" s="41">
        <v>183.3</v>
      </c>
      <c r="W40" s="41">
        <v>-873.6</v>
      </c>
      <c r="X40" s="41">
        <v>637.29999999999995</v>
      </c>
      <c r="Y40" s="41"/>
      <c r="Z40" s="41"/>
      <c r="AA40" s="41"/>
      <c r="AB40" s="41"/>
      <c r="AC40" s="41"/>
      <c r="AE40" s="41"/>
      <c r="AF40" s="41"/>
      <c r="AG40" s="41"/>
      <c r="AH40" s="41"/>
      <c r="AQ40" s="41">
        <v>924.5</v>
      </c>
      <c r="AR40" s="59">
        <v>0</v>
      </c>
      <c r="AS40" s="57"/>
      <c r="AT40" s="57"/>
      <c r="AU40" s="57">
        <v>-169.7</v>
      </c>
      <c r="AV40" s="57">
        <v>-169.7</v>
      </c>
      <c r="AW40" s="57"/>
      <c r="AX40" s="57"/>
      <c r="AY40" s="57"/>
      <c r="AZ40" s="57"/>
      <c r="BA40" s="57"/>
      <c r="BB40" s="57"/>
      <c r="BC40" s="57"/>
      <c r="BD40" s="57"/>
      <c r="BE40" s="57">
        <v>-114.7</v>
      </c>
      <c r="BF40" s="57">
        <v>-114.7</v>
      </c>
      <c r="BG40" s="57"/>
      <c r="BH40" s="57">
        <v>-906.5</v>
      </c>
      <c r="BI40" s="57"/>
      <c r="BJ40" s="57"/>
      <c r="BK40" s="57"/>
      <c r="BL40" s="57"/>
      <c r="BP40" s="57">
        <v>-201.9</v>
      </c>
      <c r="BQ40" s="57"/>
      <c r="BV40" s="57"/>
      <c r="DP40" s="75"/>
    </row>
    <row r="41" spans="1:120" ht="15.6" x14ac:dyDescent="0.3">
      <c r="A41" s="10">
        <v>38</v>
      </c>
      <c r="B41" s="11" t="s">
        <v>45</v>
      </c>
      <c r="C41" s="11">
        <v>18</v>
      </c>
      <c r="D41" s="11" t="s">
        <v>47</v>
      </c>
      <c r="E41" s="11">
        <v>2.8332000000000002</v>
      </c>
      <c r="F41" s="11">
        <v>1.833</v>
      </c>
      <c r="G41" s="40"/>
      <c r="H41" s="41">
        <v>-300</v>
      </c>
      <c r="I41" s="41">
        <v>-300</v>
      </c>
      <c r="J41" s="41">
        <v>-300</v>
      </c>
      <c r="K41" s="41">
        <v>-300</v>
      </c>
      <c r="L41" s="41"/>
      <c r="M41" s="41"/>
      <c r="N41" s="41"/>
      <c r="O41" s="41"/>
      <c r="P41" s="41">
        <v>-578.20000000000005</v>
      </c>
      <c r="Q41" s="41">
        <v>-578.20000000000005</v>
      </c>
      <c r="R41" s="41">
        <v>-390.7</v>
      </c>
      <c r="S41" s="41">
        <v>-390.7</v>
      </c>
      <c r="T41" s="41">
        <v>-390.7</v>
      </c>
      <c r="U41" s="41">
        <v>183.3</v>
      </c>
      <c r="W41" s="41">
        <v>-873.6</v>
      </c>
      <c r="X41" s="41">
        <v>637.29999999999995</v>
      </c>
      <c r="Y41" s="41"/>
      <c r="Z41" s="41"/>
      <c r="AA41" s="41"/>
      <c r="AB41" s="41"/>
      <c r="AC41" s="41"/>
      <c r="AE41" s="41"/>
      <c r="AF41" s="41"/>
      <c r="AG41" s="41"/>
      <c r="AH41" s="41"/>
      <c r="AQ41" s="41"/>
      <c r="AR41" s="41"/>
      <c r="AS41" s="59">
        <v>0</v>
      </c>
      <c r="AT41" s="57"/>
      <c r="AU41" s="57">
        <v>-169.7</v>
      </c>
      <c r="AV41" s="57">
        <v>-169.7</v>
      </c>
      <c r="AW41" s="57"/>
      <c r="AX41" s="57"/>
      <c r="AY41" s="57"/>
      <c r="AZ41" s="57"/>
      <c r="BA41" s="57"/>
      <c r="BB41" s="57"/>
      <c r="BC41" s="57"/>
      <c r="BD41" s="57"/>
      <c r="BE41" s="57">
        <v>-114.7</v>
      </c>
      <c r="BF41" s="57">
        <v>-114.7</v>
      </c>
      <c r="BG41" s="57"/>
      <c r="BH41" s="57">
        <v>-906.5</v>
      </c>
      <c r="BI41" s="57"/>
      <c r="BJ41" s="57"/>
      <c r="BK41" s="57"/>
      <c r="BL41" s="57"/>
      <c r="BP41" s="57">
        <v>-201.9</v>
      </c>
      <c r="BQ41" s="57"/>
      <c r="BV41" s="57"/>
      <c r="DP41" s="75"/>
    </row>
    <row r="42" spans="1:120" ht="15.6" x14ac:dyDescent="0.3">
      <c r="A42" s="10">
        <v>39</v>
      </c>
      <c r="B42" s="11" t="s">
        <v>46</v>
      </c>
      <c r="C42" s="11">
        <v>18</v>
      </c>
      <c r="D42" s="11" t="s">
        <v>47</v>
      </c>
      <c r="E42" s="11">
        <v>2.6669999999999998</v>
      </c>
      <c r="F42" s="11">
        <v>1.5529999999999999</v>
      </c>
      <c r="G42" s="40"/>
      <c r="H42" s="41">
        <v>-300</v>
      </c>
      <c r="I42" s="41">
        <v>-300</v>
      </c>
      <c r="J42" s="41">
        <v>-300</v>
      </c>
      <c r="K42" s="41">
        <v>-300</v>
      </c>
      <c r="L42" s="41"/>
      <c r="M42" s="41"/>
      <c r="N42" s="41"/>
      <c r="O42" s="41"/>
      <c r="P42" s="41">
        <v>-578.20000000000005</v>
      </c>
      <c r="Q42" s="41">
        <v>-578.20000000000005</v>
      </c>
      <c r="R42" s="41">
        <v>-390.7</v>
      </c>
      <c r="S42" s="41">
        <v>-390.7</v>
      </c>
      <c r="T42" s="41">
        <v>-390.7</v>
      </c>
      <c r="U42" s="41">
        <v>183.3</v>
      </c>
      <c r="W42" s="41">
        <v>-873.6</v>
      </c>
      <c r="X42" s="41">
        <v>637.29999999999995</v>
      </c>
      <c r="Y42" s="41"/>
      <c r="Z42" s="41"/>
      <c r="AA42" s="41"/>
      <c r="AB42" s="41"/>
      <c r="AC42" s="41"/>
      <c r="AE42" s="41"/>
      <c r="AF42" s="41"/>
      <c r="AG42" s="41"/>
      <c r="AH42" s="41"/>
      <c r="AQ42" s="41"/>
      <c r="AR42" s="41"/>
      <c r="AS42" s="41"/>
      <c r="AT42" s="59">
        <v>0</v>
      </c>
      <c r="AU42" s="57">
        <v>-169.7</v>
      </c>
      <c r="AV42" s="57">
        <v>-169.7</v>
      </c>
      <c r="AW42" s="57"/>
      <c r="AX42" s="57"/>
      <c r="AY42" s="57"/>
      <c r="AZ42" s="57"/>
      <c r="BA42" s="57"/>
      <c r="BB42" s="57"/>
      <c r="BC42" s="57"/>
      <c r="BD42" s="57"/>
      <c r="BE42" s="57">
        <v>-114.7</v>
      </c>
      <c r="BF42" s="57">
        <v>-114.7</v>
      </c>
      <c r="BG42" s="57"/>
      <c r="BH42" s="57">
        <v>-906.5</v>
      </c>
      <c r="BI42" s="57"/>
      <c r="BJ42" s="57"/>
      <c r="BK42" s="57"/>
      <c r="BL42" s="57"/>
      <c r="BP42" s="57">
        <v>-201.9</v>
      </c>
      <c r="BQ42" s="57"/>
      <c r="BV42" s="57"/>
      <c r="DP42" s="75"/>
    </row>
    <row r="43" spans="1:120" ht="15.6" x14ac:dyDescent="0.3">
      <c r="A43" s="10">
        <v>40</v>
      </c>
      <c r="B43" s="11" t="s">
        <v>49</v>
      </c>
      <c r="C43" s="11">
        <v>19</v>
      </c>
      <c r="D43" s="11" t="s">
        <v>48</v>
      </c>
      <c r="E43" s="11">
        <v>1.8701000000000001</v>
      </c>
      <c r="F43" s="11">
        <v>1.724</v>
      </c>
      <c r="G43" s="40"/>
      <c r="H43" s="41">
        <v>696.8</v>
      </c>
      <c r="I43" s="41">
        <v>696.8</v>
      </c>
      <c r="J43" s="41">
        <v>696.8</v>
      </c>
      <c r="K43" s="41">
        <v>696.8</v>
      </c>
      <c r="L43" s="41">
        <v>405.9</v>
      </c>
      <c r="M43" s="41">
        <v>405.9</v>
      </c>
      <c r="N43" s="41">
        <v>405.9</v>
      </c>
      <c r="O43" s="41">
        <v>405.9</v>
      </c>
      <c r="P43" s="41">
        <v>29.13</v>
      </c>
      <c r="Q43" s="41">
        <v>29.13</v>
      </c>
      <c r="R43" s="41">
        <v>1208</v>
      </c>
      <c r="S43" s="41">
        <v>1208</v>
      </c>
      <c r="T43" s="41">
        <v>1208</v>
      </c>
      <c r="U43" s="41">
        <v>-189.3</v>
      </c>
      <c r="W43" s="41">
        <v>198.3</v>
      </c>
      <c r="X43" s="41"/>
      <c r="Y43" s="41">
        <v>430.6</v>
      </c>
      <c r="Z43" s="41">
        <v>430.6</v>
      </c>
      <c r="AA43" s="41"/>
      <c r="AB43" s="41">
        <v>-149.19999999999999</v>
      </c>
      <c r="AC43" s="41">
        <v>-149.19999999999999</v>
      </c>
      <c r="AE43" s="41"/>
      <c r="AF43" s="41"/>
      <c r="AG43" s="41"/>
      <c r="AH43" s="41"/>
      <c r="AQ43" s="41"/>
      <c r="AR43" s="41">
        <v>134.30000000000001</v>
      </c>
      <c r="AS43" s="41">
        <v>134.30000000000001</v>
      </c>
      <c r="AT43" s="41">
        <v>134.30000000000001</v>
      </c>
      <c r="AU43" s="59">
        <v>0</v>
      </c>
      <c r="AV43" s="57">
        <v>0</v>
      </c>
      <c r="AW43" s="57"/>
      <c r="AX43" s="57"/>
      <c r="AY43" s="57"/>
      <c r="AZ43" s="57"/>
      <c r="BA43" s="57"/>
      <c r="BB43" s="57"/>
      <c r="BC43" s="57"/>
      <c r="BD43" s="57"/>
      <c r="BE43" s="57">
        <v>-15.62</v>
      </c>
      <c r="BF43" s="57">
        <v>-15.62</v>
      </c>
      <c r="BG43" s="57">
        <v>-54.86</v>
      </c>
      <c r="BH43" s="57">
        <v>-465.2</v>
      </c>
      <c r="BI43" s="57"/>
      <c r="BJ43" s="57"/>
      <c r="BK43" s="57"/>
      <c r="BL43" s="57"/>
      <c r="BP43" s="57"/>
      <c r="BQ43" s="57"/>
      <c r="BV43" s="57"/>
      <c r="DP43" s="75"/>
    </row>
    <row r="44" spans="1:120" ht="15.6" x14ac:dyDescent="0.3">
      <c r="A44" s="10">
        <v>41</v>
      </c>
      <c r="B44" s="11" t="s">
        <v>50</v>
      </c>
      <c r="C44" s="11">
        <v>19</v>
      </c>
      <c r="D44" s="11" t="s">
        <v>48</v>
      </c>
      <c r="E44" s="11">
        <v>1.6434</v>
      </c>
      <c r="F44" s="11">
        <v>1.4159999999999999</v>
      </c>
      <c r="G44" s="40"/>
      <c r="H44" s="41">
        <v>696.8</v>
      </c>
      <c r="I44" s="41">
        <v>696.8</v>
      </c>
      <c r="J44" s="41">
        <v>696.8</v>
      </c>
      <c r="K44" s="41">
        <v>696.8</v>
      </c>
      <c r="L44" s="41">
        <v>405.9</v>
      </c>
      <c r="M44" s="41">
        <v>405.9</v>
      </c>
      <c r="N44" s="41">
        <v>405.9</v>
      </c>
      <c r="O44" s="41">
        <v>405.9</v>
      </c>
      <c r="P44" s="41">
        <v>29.13</v>
      </c>
      <c r="Q44" s="41">
        <v>29.13</v>
      </c>
      <c r="R44" s="41">
        <v>1208</v>
      </c>
      <c r="S44" s="41">
        <v>1208</v>
      </c>
      <c r="T44" s="41">
        <v>1208</v>
      </c>
      <c r="U44" s="41">
        <v>-189.3</v>
      </c>
      <c r="W44" s="41">
        <v>198.3</v>
      </c>
      <c r="X44" s="41"/>
      <c r="Y44" s="41">
        <v>430.6</v>
      </c>
      <c r="Z44" s="41">
        <v>430.6</v>
      </c>
      <c r="AA44" s="41"/>
      <c r="AB44" s="41">
        <v>-149.19999999999999</v>
      </c>
      <c r="AC44" s="41">
        <v>-149.19999999999999</v>
      </c>
      <c r="AE44" s="41"/>
      <c r="AF44" s="41"/>
      <c r="AG44" s="41"/>
      <c r="AH44" s="41"/>
      <c r="AQ44" s="41"/>
      <c r="AR44" s="41">
        <v>134.30000000000001</v>
      </c>
      <c r="AS44" s="41">
        <v>134.30000000000001</v>
      </c>
      <c r="AT44" s="41">
        <v>134.30000000000001</v>
      </c>
      <c r="AU44" s="41">
        <v>0</v>
      </c>
      <c r="AV44" s="59">
        <v>0</v>
      </c>
      <c r="AW44" s="57"/>
      <c r="AX44" s="57"/>
      <c r="AY44" s="57"/>
      <c r="AZ44" s="57"/>
      <c r="BA44" s="57"/>
      <c r="BB44" s="57"/>
      <c r="BC44" s="57"/>
      <c r="BD44" s="57"/>
      <c r="BE44" s="57">
        <v>-15.62</v>
      </c>
      <c r="BF44" s="57">
        <v>-15.62</v>
      </c>
      <c r="BG44" s="57">
        <v>-54.86</v>
      </c>
      <c r="BH44" s="57">
        <v>-465.2</v>
      </c>
      <c r="BI44" s="57"/>
      <c r="BJ44" s="57"/>
      <c r="BK44" s="57"/>
      <c r="BL44" s="57"/>
      <c r="BP44" s="57"/>
      <c r="BQ44" s="57"/>
      <c r="BV44" s="57"/>
      <c r="DP44" s="75"/>
    </row>
    <row r="45" spans="1:120" x14ac:dyDescent="0.3">
      <c r="A45" s="10">
        <v>42</v>
      </c>
      <c r="B45" s="11" t="s">
        <v>51</v>
      </c>
      <c r="C45" s="11">
        <v>20</v>
      </c>
      <c r="D45" s="11" t="s">
        <v>51</v>
      </c>
      <c r="E45" s="11">
        <v>1.3012999999999999</v>
      </c>
      <c r="F45" s="11">
        <v>1.224</v>
      </c>
      <c r="G45" s="40"/>
      <c r="H45" s="41">
        <v>139.4</v>
      </c>
      <c r="I45" s="41">
        <v>139.4</v>
      </c>
      <c r="J45" s="41">
        <v>139.4</v>
      </c>
      <c r="K45" s="41">
        <v>139.4</v>
      </c>
      <c r="L45" s="41">
        <v>1647</v>
      </c>
      <c r="M45" s="41">
        <v>1647</v>
      </c>
      <c r="N45" s="41">
        <v>1647</v>
      </c>
      <c r="O45" s="41">
        <v>1647</v>
      </c>
      <c r="P45" s="41">
        <v>461.8</v>
      </c>
      <c r="Q45" s="41">
        <v>461.8</v>
      </c>
      <c r="R45" s="41">
        <v>339.1</v>
      </c>
      <c r="S45" s="41">
        <v>339.1</v>
      </c>
      <c r="T45" s="41">
        <v>339.1</v>
      </c>
      <c r="U45" s="41">
        <v>-104</v>
      </c>
      <c r="W45" s="41">
        <v>-465.7</v>
      </c>
      <c r="X45" s="41"/>
      <c r="Y45" s="41">
        <v>1247</v>
      </c>
      <c r="Z45" s="41">
        <v>1247</v>
      </c>
      <c r="AA45" s="41">
        <v>0.75</v>
      </c>
      <c r="AB45" s="41">
        <v>-117.6</v>
      </c>
      <c r="AC45" s="41">
        <v>-117.6</v>
      </c>
      <c r="AE45" s="41">
        <v>-96.62</v>
      </c>
      <c r="AF45" s="41">
        <v>-96.62</v>
      </c>
      <c r="AG45" s="41">
        <v>-96.62</v>
      </c>
      <c r="AH45" s="41">
        <v>-96.62</v>
      </c>
      <c r="AQ45" s="41">
        <v>942.2</v>
      </c>
      <c r="AR45" s="41"/>
      <c r="AS45" s="41"/>
      <c r="AT45" s="41"/>
      <c r="AU45" s="41"/>
      <c r="AV45" s="41"/>
      <c r="AW45" s="59">
        <v>0</v>
      </c>
      <c r="AX45" s="57">
        <v>0</v>
      </c>
      <c r="AY45" s="57">
        <v>337.1</v>
      </c>
      <c r="AZ45" s="57">
        <v>337.1</v>
      </c>
      <c r="BA45" s="57">
        <v>337.1</v>
      </c>
      <c r="BB45" s="57">
        <v>437.7</v>
      </c>
      <c r="BC45" s="57">
        <v>437.7</v>
      </c>
      <c r="BD45" s="57">
        <v>437.7</v>
      </c>
      <c r="BE45" s="57">
        <v>370.4</v>
      </c>
      <c r="BF45" s="57">
        <v>370.4</v>
      </c>
      <c r="BG45" s="57">
        <v>438.1</v>
      </c>
      <c r="BH45" s="57">
        <v>1349</v>
      </c>
      <c r="BI45" s="57">
        <v>152.4</v>
      </c>
      <c r="BJ45" s="57">
        <v>152.4</v>
      </c>
      <c r="BK45" s="57">
        <v>152.4</v>
      </c>
      <c r="BL45" s="57"/>
      <c r="BP45" s="57">
        <v>-115.7</v>
      </c>
      <c r="BQ45" s="57">
        <v>1707</v>
      </c>
      <c r="BV45" s="57"/>
      <c r="DP45" s="75"/>
    </row>
    <row r="46" spans="1:120" x14ac:dyDescent="0.3">
      <c r="A46" s="10">
        <v>43</v>
      </c>
      <c r="B46" s="11" t="s">
        <v>52</v>
      </c>
      <c r="C46" s="11">
        <v>20</v>
      </c>
      <c r="D46" s="11" t="s">
        <v>51</v>
      </c>
      <c r="E46" s="11">
        <v>1.528</v>
      </c>
      <c r="F46" s="11">
        <v>1.532</v>
      </c>
      <c r="G46" s="40"/>
      <c r="H46" s="41">
        <v>139.4</v>
      </c>
      <c r="I46" s="41">
        <v>139.4</v>
      </c>
      <c r="J46" s="41">
        <v>139.4</v>
      </c>
      <c r="K46" s="41">
        <v>139.4</v>
      </c>
      <c r="L46" s="41">
        <v>1647</v>
      </c>
      <c r="M46" s="41">
        <v>1647</v>
      </c>
      <c r="N46" s="41">
        <v>1647</v>
      </c>
      <c r="O46" s="41">
        <v>1647</v>
      </c>
      <c r="P46" s="41">
        <v>461.8</v>
      </c>
      <c r="Q46" s="41">
        <v>461.8</v>
      </c>
      <c r="R46" s="41">
        <v>339.1</v>
      </c>
      <c r="S46" s="41">
        <v>339.1</v>
      </c>
      <c r="T46" s="41">
        <v>339.1</v>
      </c>
      <c r="U46" s="41">
        <v>-104</v>
      </c>
      <c r="W46" s="41">
        <v>-465.7</v>
      </c>
      <c r="X46" s="41"/>
      <c r="Y46" s="41">
        <v>1247</v>
      </c>
      <c r="Z46" s="41">
        <v>1247</v>
      </c>
      <c r="AA46" s="41">
        <v>0.75</v>
      </c>
      <c r="AB46" s="41">
        <v>-117.6</v>
      </c>
      <c r="AC46" s="41">
        <v>-117.6</v>
      </c>
      <c r="AE46" s="41">
        <v>-96.62</v>
      </c>
      <c r="AF46" s="41">
        <v>-96.62</v>
      </c>
      <c r="AG46" s="41">
        <v>-96.62</v>
      </c>
      <c r="AH46" s="41">
        <v>-96.62</v>
      </c>
      <c r="AQ46" s="41">
        <v>942.2</v>
      </c>
      <c r="AR46" s="41"/>
      <c r="AS46" s="41"/>
      <c r="AT46" s="41"/>
      <c r="AU46" s="41"/>
      <c r="AV46" s="41"/>
      <c r="AW46" s="41">
        <v>0</v>
      </c>
      <c r="AX46" s="59">
        <v>0</v>
      </c>
      <c r="AY46" s="57">
        <v>337.1</v>
      </c>
      <c r="AZ46" s="57">
        <v>337.1</v>
      </c>
      <c r="BA46" s="57">
        <v>337.1</v>
      </c>
      <c r="BB46" s="57">
        <v>437.7</v>
      </c>
      <c r="BC46" s="57">
        <v>437.7</v>
      </c>
      <c r="BD46" s="57">
        <v>437.7</v>
      </c>
      <c r="BE46" s="57">
        <v>370.4</v>
      </c>
      <c r="BF46" s="57">
        <v>370.4</v>
      </c>
      <c r="BG46" s="57">
        <v>438.1</v>
      </c>
      <c r="BH46" s="57">
        <v>1349</v>
      </c>
      <c r="BI46" s="57">
        <v>152.4</v>
      </c>
      <c r="BJ46" s="57">
        <v>152.4</v>
      </c>
      <c r="BK46" s="57">
        <v>152.4</v>
      </c>
      <c r="BL46" s="57"/>
      <c r="BP46" s="57">
        <v>-115.7</v>
      </c>
      <c r="BQ46" s="57">
        <v>1707</v>
      </c>
      <c r="BV46" s="57"/>
      <c r="DP46" s="75"/>
    </row>
    <row r="47" spans="1:120" ht="15.6" x14ac:dyDescent="0.3">
      <c r="A47" s="10">
        <v>44</v>
      </c>
      <c r="B47" s="11" t="s">
        <v>54</v>
      </c>
      <c r="C47" s="11">
        <v>21</v>
      </c>
      <c r="D47" s="11" t="s">
        <v>53</v>
      </c>
      <c r="E47" s="11">
        <v>1.4654</v>
      </c>
      <c r="F47" s="11">
        <v>1.264</v>
      </c>
      <c r="G47" s="40"/>
      <c r="H47" s="41">
        <v>42.14</v>
      </c>
      <c r="I47" s="41">
        <v>42.14</v>
      </c>
      <c r="J47" s="41">
        <v>42.14</v>
      </c>
      <c r="K47" s="41">
        <v>42.14</v>
      </c>
      <c r="L47" s="41">
        <v>99.61</v>
      </c>
      <c r="M47" s="41">
        <v>99.61</v>
      </c>
      <c r="N47" s="41">
        <v>99.61</v>
      </c>
      <c r="O47" s="41">
        <v>99.61</v>
      </c>
      <c r="P47" s="41">
        <v>-18.809999999999999</v>
      </c>
      <c r="Q47" s="41">
        <v>-18.809999999999999</v>
      </c>
      <c r="R47" s="41">
        <v>-114.1</v>
      </c>
      <c r="S47" s="41">
        <v>-114.1</v>
      </c>
      <c r="T47" s="41">
        <v>-114.1</v>
      </c>
      <c r="U47" s="41">
        <v>62.05</v>
      </c>
      <c r="W47" s="41">
        <v>315.89999999999998</v>
      </c>
      <c r="X47" s="41"/>
      <c r="Y47" s="41">
        <v>1000</v>
      </c>
      <c r="Z47" s="41">
        <v>1000</v>
      </c>
      <c r="AA47" s="41">
        <v>751.8</v>
      </c>
      <c r="AB47" s="41"/>
      <c r="AC47" s="41"/>
      <c r="AE47" s="41">
        <v>301.10000000000002</v>
      </c>
      <c r="AF47" s="41">
        <v>301.10000000000002</v>
      </c>
      <c r="AG47" s="41">
        <v>301.10000000000002</v>
      </c>
      <c r="AH47" s="41">
        <v>301.10000000000002</v>
      </c>
      <c r="AQ47" s="41"/>
      <c r="AR47" s="41"/>
      <c r="AS47" s="41"/>
      <c r="AT47" s="41"/>
      <c r="AU47" s="41"/>
      <c r="AV47" s="41"/>
      <c r="AW47" s="41">
        <v>19.77</v>
      </c>
      <c r="AX47" s="41">
        <v>19.77</v>
      </c>
      <c r="AY47" s="59">
        <v>0</v>
      </c>
      <c r="AZ47" s="57">
        <v>0</v>
      </c>
      <c r="BA47" s="57">
        <v>0</v>
      </c>
      <c r="BB47" s="57">
        <v>-21.35</v>
      </c>
      <c r="BC47" s="57">
        <v>-21.35</v>
      </c>
      <c r="BD47" s="57">
        <v>-21.35</v>
      </c>
      <c r="BE47" s="57">
        <v>-57.1</v>
      </c>
      <c r="BF47" s="57">
        <v>-57.1</v>
      </c>
      <c r="BG47" s="57">
        <v>11.8</v>
      </c>
      <c r="BH47" s="57"/>
      <c r="BI47" s="57"/>
      <c r="BJ47" s="57"/>
      <c r="BK47" s="57"/>
      <c r="BL47" s="57"/>
      <c r="BP47" s="57"/>
      <c r="BQ47" s="57"/>
      <c r="BV47" s="57"/>
      <c r="DP47" s="75"/>
    </row>
    <row r="48" spans="1:120" x14ac:dyDescent="0.3">
      <c r="A48" s="10">
        <v>45</v>
      </c>
      <c r="B48" s="11" t="s">
        <v>55</v>
      </c>
      <c r="C48" s="11">
        <v>21</v>
      </c>
      <c r="D48" s="11" t="s">
        <v>53</v>
      </c>
      <c r="E48" s="11">
        <v>1.238</v>
      </c>
      <c r="F48" s="11">
        <v>0.95199999999999996</v>
      </c>
      <c r="G48" s="40"/>
      <c r="H48" s="41">
        <v>42.14</v>
      </c>
      <c r="I48" s="41">
        <v>42.14</v>
      </c>
      <c r="J48" s="41">
        <v>42.14</v>
      </c>
      <c r="K48" s="41">
        <v>42.14</v>
      </c>
      <c r="L48" s="41">
        <v>99.61</v>
      </c>
      <c r="M48" s="41">
        <v>99.61</v>
      </c>
      <c r="N48" s="41">
        <v>99.61</v>
      </c>
      <c r="O48" s="41">
        <v>99.61</v>
      </c>
      <c r="P48" s="41">
        <v>-18.809999999999999</v>
      </c>
      <c r="Q48" s="41">
        <v>-18.809999999999999</v>
      </c>
      <c r="R48" s="41">
        <v>-114.1</v>
      </c>
      <c r="S48" s="41">
        <v>-114.1</v>
      </c>
      <c r="T48" s="41">
        <v>-114.1</v>
      </c>
      <c r="U48" s="41">
        <v>62.05</v>
      </c>
      <c r="W48" s="41">
        <v>315.89999999999998</v>
      </c>
      <c r="X48" s="41"/>
      <c r="Y48" s="41">
        <v>1000</v>
      </c>
      <c r="Z48" s="41">
        <v>1000</v>
      </c>
      <c r="AA48" s="41">
        <v>751.8</v>
      </c>
      <c r="AB48" s="41"/>
      <c r="AC48" s="41"/>
      <c r="AE48" s="41">
        <v>301.10000000000002</v>
      </c>
      <c r="AF48" s="41">
        <v>301.10000000000002</v>
      </c>
      <c r="AG48" s="41">
        <v>301.10000000000002</v>
      </c>
      <c r="AH48" s="41">
        <v>301.10000000000002</v>
      </c>
      <c r="AQ48" s="41"/>
      <c r="AR48" s="41"/>
      <c r="AS48" s="41"/>
      <c r="AT48" s="41"/>
      <c r="AU48" s="41"/>
      <c r="AV48" s="41"/>
      <c r="AW48" s="41">
        <v>19.77</v>
      </c>
      <c r="AX48" s="41">
        <v>19.77</v>
      </c>
      <c r="AY48" s="41">
        <v>0</v>
      </c>
      <c r="AZ48" s="59">
        <v>0</v>
      </c>
      <c r="BA48" s="57">
        <v>0</v>
      </c>
      <c r="BB48" s="57">
        <v>-21.35</v>
      </c>
      <c r="BC48" s="57">
        <v>-21.35</v>
      </c>
      <c r="BD48" s="57">
        <v>-21.35</v>
      </c>
      <c r="BE48" s="57">
        <v>-57.1</v>
      </c>
      <c r="BF48" s="57">
        <v>-57.1</v>
      </c>
      <c r="BG48" s="57">
        <v>11.8</v>
      </c>
      <c r="BH48" s="57"/>
      <c r="BI48" s="57"/>
      <c r="BJ48" s="57"/>
      <c r="BK48" s="57"/>
      <c r="BL48" s="57"/>
      <c r="BP48" s="57"/>
      <c r="BQ48" s="57"/>
      <c r="BV48" s="57"/>
      <c r="DP48" s="75"/>
    </row>
    <row r="49" spans="1:120" x14ac:dyDescent="0.3">
      <c r="A49" s="10">
        <v>46</v>
      </c>
      <c r="B49" s="11" t="s">
        <v>53</v>
      </c>
      <c r="C49" s="11">
        <v>21</v>
      </c>
      <c r="D49" s="11" t="s">
        <v>53</v>
      </c>
      <c r="E49" s="11">
        <v>1.0105999999999999</v>
      </c>
      <c r="F49" s="11">
        <v>0.72399999999999998</v>
      </c>
      <c r="G49" s="40"/>
      <c r="H49" s="41">
        <v>42.14</v>
      </c>
      <c r="I49" s="41">
        <v>42.14</v>
      </c>
      <c r="J49" s="41">
        <v>42.14</v>
      </c>
      <c r="K49" s="41">
        <v>42.14</v>
      </c>
      <c r="L49" s="41">
        <v>99.61</v>
      </c>
      <c r="M49" s="41">
        <v>99.61</v>
      </c>
      <c r="N49" s="41">
        <v>99.61</v>
      </c>
      <c r="O49" s="41">
        <v>99.61</v>
      </c>
      <c r="P49" s="41">
        <v>-18.809999999999999</v>
      </c>
      <c r="Q49" s="41">
        <v>-18.809999999999999</v>
      </c>
      <c r="R49" s="41">
        <v>-114.1</v>
      </c>
      <c r="S49" s="41">
        <v>-114.1</v>
      </c>
      <c r="T49" s="41">
        <v>-114.1</v>
      </c>
      <c r="U49" s="41">
        <v>62.05</v>
      </c>
      <c r="W49" s="41">
        <v>315.89999999999998</v>
      </c>
      <c r="X49" s="41"/>
      <c r="Y49" s="41">
        <v>1000</v>
      </c>
      <c r="Z49" s="41">
        <v>1000</v>
      </c>
      <c r="AA49" s="41">
        <v>751.8</v>
      </c>
      <c r="AB49" s="41"/>
      <c r="AC49" s="41"/>
      <c r="AE49" s="41">
        <v>301.10000000000002</v>
      </c>
      <c r="AF49" s="41">
        <v>301.10000000000002</v>
      </c>
      <c r="AG49" s="41">
        <v>301.10000000000002</v>
      </c>
      <c r="AH49" s="41">
        <v>301.10000000000002</v>
      </c>
      <c r="AQ49" s="41"/>
      <c r="AR49" s="41"/>
      <c r="AS49" s="41"/>
      <c r="AT49" s="41"/>
      <c r="AU49" s="41"/>
      <c r="AV49" s="41"/>
      <c r="AW49" s="41">
        <v>19.77</v>
      </c>
      <c r="AX49" s="41">
        <v>19.77</v>
      </c>
      <c r="AY49" s="41">
        <v>0</v>
      </c>
      <c r="AZ49" s="41">
        <v>0</v>
      </c>
      <c r="BA49" s="59">
        <v>0</v>
      </c>
      <c r="BB49" s="57">
        <v>-21.35</v>
      </c>
      <c r="BC49" s="57">
        <v>-21.35</v>
      </c>
      <c r="BD49" s="57">
        <v>-21.35</v>
      </c>
      <c r="BE49" s="57">
        <v>-57.1</v>
      </c>
      <c r="BF49" s="57">
        <v>-57.1</v>
      </c>
      <c r="BG49" s="57">
        <v>11.8</v>
      </c>
      <c r="BH49" s="57"/>
      <c r="BI49" s="57"/>
      <c r="BJ49" s="57"/>
      <c r="BK49" s="57"/>
      <c r="BL49" s="57"/>
      <c r="BP49" s="57"/>
      <c r="BQ49" s="57"/>
      <c r="BV49" s="57"/>
      <c r="DP49" s="75"/>
    </row>
    <row r="50" spans="1:120" ht="15.6" x14ac:dyDescent="0.3">
      <c r="A50" s="10">
        <v>47</v>
      </c>
      <c r="B50" s="11" t="s">
        <v>57</v>
      </c>
      <c r="C50" s="11">
        <v>22</v>
      </c>
      <c r="D50" s="11" t="s">
        <v>56</v>
      </c>
      <c r="E50" s="11">
        <v>2.2564000000000002</v>
      </c>
      <c r="F50" s="11">
        <v>1.988</v>
      </c>
      <c r="G50" s="40"/>
      <c r="H50" s="41">
        <v>-243.9</v>
      </c>
      <c r="I50" s="41">
        <v>-243.9</v>
      </c>
      <c r="J50" s="41">
        <v>-243.9</v>
      </c>
      <c r="K50" s="41">
        <v>-243.9</v>
      </c>
      <c r="L50" s="41">
        <v>337.1</v>
      </c>
      <c r="M50" s="41">
        <v>337.1</v>
      </c>
      <c r="N50" s="41">
        <v>337.1</v>
      </c>
      <c r="O50" s="41">
        <v>337.1</v>
      </c>
      <c r="P50" s="41"/>
      <c r="Q50" s="41"/>
      <c r="R50" s="41"/>
      <c r="S50" s="41"/>
      <c r="T50" s="41"/>
      <c r="U50" s="41">
        <v>272.2</v>
      </c>
      <c r="W50" s="41">
        <v>370.7</v>
      </c>
      <c r="X50" s="41"/>
      <c r="Y50" s="41">
        <v>-301</v>
      </c>
      <c r="Z50" s="41">
        <v>-301</v>
      </c>
      <c r="AA50" s="41"/>
      <c r="AB50" s="41">
        <v>108.9</v>
      </c>
      <c r="AC50" s="41">
        <v>108.9</v>
      </c>
      <c r="AE50" s="41">
        <v>137.80000000000001</v>
      </c>
      <c r="AF50" s="41">
        <v>137.80000000000001</v>
      </c>
      <c r="AG50" s="41">
        <v>137.80000000000001</v>
      </c>
      <c r="AH50" s="41">
        <v>137.80000000000001</v>
      </c>
      <c r="AQ50" s="41"/>
      <c r="AR50" s="41"/>
      <c r="AS50" s="41"/>
      <c r="AT50" s="41"/>
      <c r="AU50" s="41"/>
      <c r="AV50" s="41"/>
      <c r="AW50" s="41">
        <v>1670</v>
      </c>
      <c r="AX50" s="41">
        <v>1670</v>
      </c>
      <c r="AY50" s="41">
        <v>110.5</v>
      </c>
      <c r="AZ50" s="41">
        <v>110.5</v>
      </c>
      <c r="BA50" s="41">
        <v>110.5</v>
      </c>
      <c r="BB50" s="59">
        <v>0</v>
      </c>
      <c r="BC50" s="57">
        <v>0</v>
      </c>
      <c r="BD50" s="57">
        <v>0</v>
      </c>
      <c r="BE50" s="57"/>
      <c r="BF50" s="57"/>
      <c r="BG50" s="57">
        <v>17.97</v>
      </c>
      <c r="BH50" s="57"/>
      <c r="BI50" s="57"/>
      <c r="BJ50" s="57"/>
      <c r="BK50" s="57"/>
      <c r="BL50" s="57"/>
      <c r="BP50" s="57">
        <v>808.8</v>
      </c>
      <c r="BQ50" s="57"/>
      <c r="BV50" s="57"/>
      <c r="DP50" s="75"/>
    </row>
    <row r="51" spans="1:120" ht="15.6" x14ac:dyDescent="0.3">
      <c r="A51" s="10">
        <v>48</v>
      </c>
      <c r="B51" s="11" t="s">
        <v>58</v>
      </c>
      <c r="C51" s="11">
        <v>22</v>
      </c>
      <c r="D51" s="11" t="s">
        <v>56</v>
      </c>
      <c r="E51" s="11">
        <v>2.0606</v>
      </c>
      <c r="F51" s="11">
        <v>1.6839999999999999</v>
      </c>
      <c r="G51" s="40"/>
      <c r="H51" s="41">
        <v>-243.9</v>
      </c>
      <c r="I51" s="41">
        <v>-243.9</v>
      </c>
      <c r="J51" s="41">
        <v>-243.9</v>
      </c>
      <c r="K51" s="41">
        <v>-243.9</v>
      </c>
      <c r="L51" s="41">
        <v>337.1</v>
      </c>
      <c r="M51" s="41">
        <v>337.1</v>
      </c>
      <c r="N51" s="41">
        <v>337.1</v>
      </c>
      <c r="O51" s="41">
        <v>337.1</v>
      </c>
      <c r="P51" s="41"/>
      <c r="Q51" s="41"/>
      <c r="R51" s="41"/>
      <c r="S51" s="41"/>
      <c r="T51" s="41"/>
      <c r="U51" s="41">
        <v>272.2</v>
      </c>
      <c r="W51" s="41">
        <v>370.7</v>
      </c>
      <c r="X51" s="41"/>
      <c r="Y51" s="41">
        <v>-301</v>
      </c>
      <c r="Z51" s="41">
        <v>-301</v>
      </c>
      <c r="AA51" s="41"/>
      <c r="AB51" s="41">
        <v>108.9</v>
      </c>
      <c r="AC51" s="41">
        <v>108.9</v>
      </c>
      <c r="AE51" s="41">
        <v>137.80000000000001</v>
      </c>
      <c r="AF51" s="41">
        <v>137.80000000000001</v>
      </c>
      <c r="AG51" s="41">
        <v>137.80000000000001</v>
      </c>
      <c r="AH51" s="41">
        <v>137.80000000000001</v>
      </c>
      <c r="AQ51" s="41"/>
      <c r="AR51" s="41"/>
      <c r="AS51" s="41"/>
      <c r="AT51" s="41"/>
      <c r="AU51" s="41"/>
      <c r="AV51" s="41"/>
      <c r="AW51" s="41">
        <v>1670</v>
      </c>
      <c r="AX51" s="41">
        <v>1670</v>
      </c>
      <c r="AY51" s="41">
        <v>110.5</v>
      </c>
      <c r="AZ51" s="41">
        <v>110.5</v>
      </c>
      <c r="BA51" s="41">
        <v>110.5</v>
      </c>
      <c r="BB51" s="41">
        <v>0</v>
      </c>
      <c r="BC51" s="59">
        <v>0</v>
      </c>
      <c r="BD51" s="57">
        <v>0</v>
      </c>
      <c r="BE51" s="57"/>
      <c r="BF51" s="57"/>
      <c r="BG51" s="57">
        <v>17.97</v>
      </c>
      <c r="BH51" s="57"/>
      <c r="BI51" s="57"/>
      <c r="BJ51" s="57"/>
      <c r="BK51" s="57"/>
      <c r="BL51" s="57"/>
      <c r="BP51" s="57">
        <v>808.8</v>
      </c>
      <c r="BQ51" s="57"/>
      <c r="BV51" s="57"/>
      <c r="DP51" s="75"/>
    </row>
    <row r="52" spans="1:120" ht="15.6" x14ac:dyDescent="0.3">
      <c r="A52" s="10">
        <v>49</v>
      </c>
      <c r="B52" s="11" t="s">
        <v>56</v>
      </c>
      <c r="C52" s="11">
        <v>22</v>
      </c>
      <c r="D52" s="11" t="s">
        <v>56</v>
      </c>
      <c r="E52" s="11">
        <v>1.8016000000000001</v>
      </c>
      <c r="F52" s="11">
        <v>1.448</v>
      </c>
      <c r="G52" s="40"/>
      <c r="H52" s="41">
        <v>-243.9</v>
      </c>
      <c r="I52" s="41">
        <v>-243.9</v>
      </c>
      <c r="J52" s="41">
        <v>-243.9</v>
      </c>
      <c r="K52" s="41">
        <v>-243.9</v>
      </c>
      <c r="L52" s="41">
        <v>337.1</v>
      </c>
      <c r="M52" s="41">
        <v>337.1</v>
      </c>
      <c r="N52" s="41">
        <v>337.1</v>
      </c>
      <c r="O52" s="41">
        <v>337.1</v>
      </c>
      <c r="P52" s="41"/>
      <c r="Q52" s="41"/>
      <c r="R52" s="41"/>
      <c r="S52" s="41"/>
      <c r="T52" s="41"/>
      <c r="U52" s="41">
        <v>272.2</v>
      </c>
      <c r="W52" s="41">
        <v>370.7</v>
      </c>
      <c r="X52" s="41"/>
      <c r="Y52" s="41">
        <v>-301</v>
      </c>
      <c r="Z52" s="41">
        <v>-301</v>
      </c>
      <c r="AA52" s="41"/>
      <c r="AB52" s="41">
        <v>108.9</v>
      </c>
      <c r="AC52" s="41">
        <v>108.9</v>
      </c>
      <c r="AE52" s="41">
        <v>137.80000000000001</v>
      </c>
      <c r="AF52" s="41">
        <v>137.80000000000001</v>
      </c>
      <c r="AG52" s="41">
        <v>137.80000000000001</v>
      </c>
      <c r="AH52" s="41">
        <v>137.80000000000001</v>
      </c>
      <c r="AQ52" s="41"/>
      <c r="AR52" s="41"/>
      <c r="AS52" s="41"/>
      <c r="AT52" s="41"/>
      <c r="AU52" s="41"/>
      <c r="AV52" s="41"/>
      <c r="AW52" s="41">
        <v>1670</v>
      </c>
      <c r="AX52" s="41">
        <v>1670</v>
      </c>
      <c r="AY52" s="41">
        <v>110.5</v>
      </c>
      <c r="AZ52" s="41">
        <v>110.5</v>
      </c>
      <c r="BA52" s="41">
        <v>110.5</v>
      </c>
      <c r="BB52" s="41">
        <v>0</v>
      </c>
      <c r="BC52" s="41">
        <v>0</v>
      </c>
      <c r="BD52" s="59">
        <v>0</v>
      </c>
      <c r="BE52" s="57"/>
      <c r="BF52" s="57"/>
      <c r="BG52" s="57">
        <v>17.97</v>
      </c>
      <c r="BH52" s="57"/>
      <c r="BI52" s="57"/>
      <c r="BJ52" s="57"/>
      <c r="BK52" s="57"/>
      <c r="BL52" s="57"/>
      <c r="BP52" s="57">
        <v>808.8</v>
      </c>
      <c r="BQ52" s="57"/>
      <c r="BV52" s="57"/>
      <c r="DP52" s="75"/>
    </row>
    <row r="53" spans="1:120" ht="15.6" x14ac:dyDescent="0.3">
      <c r="A53" s="10">
        <v>50</v>
      </c>
      <c r="B53" s="11" t="s">
        <v>60</v>
      </c>
      <c r="C53" s="11">
        <v>23</v>
      </c>
      <c r="D53" s="11" t="s">
        <v>59</v>
      </c>
      <c r="E53" s="11">
        <v>2.87</v>
      </c>
      <c r="F53" s="11">
        <v>2.41</v>
      </c>
      <c r="G53" s="40"/>
      <c r="H53" s="41">
        <v>7.5</v>
      </c>
      <c r="I53" s="41">
        <v>7.5</v>
      </c>
      <c r="J53" s="41">
        <v>7.5</v>
      </c>
      <c r="K53" s="41">
        <v>7.5</v>
      </c>
      <c r="L53" s="41">
        <v>4583</v>
      </c>
      <c r="M53" s="41">
        <v>4583</v>
      </c>
      <c r="N53" s="41">
        <v>4583</v>
      </c>
      <c r="O53" s="41">
        <v>4583</v>
      </c>
      <c r="P53" s="41">
        <v>-231.9</v>
      </c>
      <c r="Q53" s="41">
        <v>-231.9</v>
      </c>
      <c r="R53" s="41">
        <v>-12.14</v>
      </c>
      <c r="S53" s="41">
        <v>-12.14</v>
      </c>
      <c r="T53" s="41">
        <v>-12.14</v>
      </c>
      <c r="U53" s="41">
        <v>-61.57</v>
      </c>
      <c r="W53" s="41">
        <v>376.8</v>
      </c>
      <c r="X53" s="41"/>
      <c r="Y53" s="41">
        <v>12.01</v>
      </c>
      <c r="Z53" s="41">
        <v>12.01</v>
      </c>
      <c r="AA53" s="41"/>
      <c r="AB53" s="41">
        <v>-209.7</v>
      </c>
      <c r="AC53" s="41">
        <v>-209.7</v>
      </c>
      <c r="AE53" s="41">
        <v>-154.30000000000001</v>
      </c>
      <c r="AF53" s="41">
        <v>-154.30000000000001</v>
      </c>
      <c r="AG53" s="41">
        <v>-154.30000000000001</v>
      </c>
      <c r="AH53" s="41">
        <v>-154.30000000000001</v>
      </c>
      <c r="AQ53" s="41">
        <v>-75.5</v>
      </c>
      <c r="AR53" s="41">
        <v>18.98</v>
      </c>
      <c r="AS53" s="41">
        <v>18.98</v>
      </c>
      <c r="AT53" s="41">
        <v>18.98</v>
      </c>
      <c r="AU53" s="41">
        <v>70.040000000000006</v>
      </c>
      <c r="AV53" s="41">
        <v>70.040000000000006</v>
      </c>
      <c r="AW53" s="41">
        <v>48.15</v>
      </c>
      <c r="AX53" s="41">
        <v>48.15</v>
      </c>
      <c r="AY53" s="41">
        <v>249.2</v>
      </c>
      <c r="AZ53" s="41">
        <v>249.2</v>
      </c>
      <c r="BA53" s="41">
        <v>249.2</v>
      </c>
      <c r="BB53" s="41"/>
      <c r="BC53" s="41"/>
      <c r="BD53" s="41"/>
      <c r="BE53" s="59">
        <v>0</v>
      </c>
      <c r="BF53" s="57">
        <v>0</v>
      </c>
      <c r="BG53" s="57">
        <v>51.9</v>
      </c>
      <c r="BH53" s="57"/>
      <c r="BI53" s="57"/>
      <c r="BJ53" s="57"/>
      <c r="BK53" s="57"/>
      <c r="BL53" s="57"/>
      <c r="BP53" s="57">
        <v>203.1</v>
      </c>
      <c r="BQ53" s="57"/>
      <c r="BV53" s="57"/>
      <c r="DP53" s="75"/>
    </row>
    <row r="54" spans="1:120" ht="15.6" x14ac:dyDescent="0.3">
      <c r="A54" s="10">
        <v>51</v>
      </c>
      <c r="B54" s="11" t="s">
        <v>59</v>
      </c>
      <c r="C54" s="11">
        <v>23</v>
      </c>
      <c r="D54" s="11" t="s">
        <v>59</v>
      </c>
      <c r="E54" s="11">
        <v>2.6400999999999999</v>
      </c>
      <c r="F54" s="11">
        <v>2.1840000000000002</v>
      </c>
      <c r="G54" s="40"/>
      <c r="H54" s="41">
        <v>7.5</v>
      </c>
      <c r="I54" s="41">
        <v>7.5</v>
      </c>
      <c r="J54" s="41">
        <v>7.5</v>
      </c>
      <c r="K54" s="41">
        <v>7.5</v>
      </c>
      <c r="L54" s="41">
        <v>4583</v>
      </c>
      <c r="M54" s="41">
        <v>4583</v>
      </c>
      <c r="N54" s="41">
        <v>4583</v>
      </c>
      <c r="O54" s="41">
        <v>4583</v>
      </c>
      <c r="P54" s="41">
        <v>-231.9</v>
      </c>
      <c r="Q54" s="41">
        <v>-231.9</v>
      </c>
      <c r="R54" s="41">
        <v>-12.14</v>
      </c>
      <c r="S54" s="41">
        <v>-12.14</v>
      </c>
      <c r="T54" s="41">
        <v>-12.14</v>
      </c>
      <c r="U54" s="41">
        <v>-61.57</v>
      </c>
      <c r="W54" s="41">
        <v>376.8</v>
      </c>
      <c r="X54" s="41"/>
      <c r="Y54" s="41">
        <v>12.01</v>
      </c>
      <c r="Z54" s="41">
        <v>12.01</v>
      </c>
      <c r="AA54" s="41"/>
      <c r="AB54" s="41">
        <v>-209.7</v>
      </c>
      <c r="AC54" s="41">
        <v>-209.7</v>
      </c>
      <c r="AE54" s="41">
        <v>-154.30000000000001</v>
      </c>
      <c r="AF54" s="41">
        <v>-154.30000000000001</v>
      </c>
      <c r="AG54" s="41">
        <v>-154.30000000000001</v>
      </c>
      <c r="AH54" s="41">
        <v>-154.30000000000001</v>
      </c>
      <c r="AQ54" s="41">
        <v>-75.5</v>
      </c>
      <c r="AR54" s="41">
        <v>18.98</v>
      </c>
      <c r="AS54" s="41">
        <v>18.98</v>
      </c>
      <c r="AT54" s="41">
        <v>18.98</v>
      </c>
      <c r="AU54" s="41">
        <v>70.040000000000006</v>
      </c>
      <c r="AV54" s="41">
        <v>70.040000000000006</v>
      </c>
      <c r="AW54" s="41">
        <v>48.15</v>
      </c>
      <c r="AX54" s="41">
        <v>48.15</v>
      </c>
      <c r="AY54" s="41">
        <v>249.2</v>
      </c>
      <c r="AZ54" s="41">
        <v>249.2</v>
      </c>
      <c r="BA54" s="41">
        <v>249.2</v>
      </c>
      <c r="BB54" s="41"/>
      <c r="BC54" s="41"/>
      <c r="BD54" s="41"/>
      <c r="BE54" s="41">
        <v>0</v>
      </c>
      <c r="BF54" s="59">
        <v>0</v>
      </c>
      <c r="BG54" s="57">
        <v>51.9</v>
      </c>
      <c r="BH54" s="57"/>
      <c r="BI54" s="57"/>
      <c r="BJ54" s="57"/>
      <c r="BK54" s="57"/>
      <c r="BL54" s="57"/>
      <c r="BP54" s="57">
        <v>203.1</v>
      </c>
      <c r="BQ54" s="57"/>
      <c r="BV54" s="57"/>
      <c r="DP54" s="75"/>
    </row>
    <row r="55" spans="1:120" ht="15.6" x14ac:dyDescent="0.3">
      <c r="A55" s="10">
        <v>52</v>
      </c>
      <c r="B55" s="11" t="s">
        <v>61</v>
      </c>
      <c r="C55" s="11">
        <v>24</v>
      </c>
      <c r="D55" s="11" t="s">
        <v>61</v>
      </c>
      <c r="E55" s="11">
        <v>3.39</v>
      </c>
      <c r="F55" s="11">
        <v>2.91</v>
      </c>
      <c r="G55" s="40"/>
      <c r="H55" s="41">
        <v>-5.55</v>
      </c>
      <c r="I55" s="41">
        <v>-5.55</v>
      </c>
      <c r="J55" s="41">
        <v>-5.55</v>
      </c>
      <c r="K55" s="41">
        <v>-5.55</v>
      </c>
      <c r="L55" s="41">
        <v>5831</v>
      </c>
      <c r="M55" s="41">
        <v>5831</v>
      </c>
      <c r="N55" s="41">
        <v>5831</v>
      </c>
      <c r="O55" s="41">
        <v>5831</v>
      </c>
      <c r="P55" s="41">
        <v>3000</v>
      </c>
      <c r="Q55" s="41">
        <v>3000</v>
      </c>
      <c r="R55" s="41">
        <v>-141.30000000000001</v>
      </c>
      <c r="S55" s="41">
        <v>-141.30000000000001</v>
      </c>
      <c r="T55" s="41">
        <v>-141.30000000000001</v>
      </c>
      <c r="U55" s="41">
        <v>-41.75</v>
      </c>
      <c r="W55" s="41">
        <v>502.9</v>
      </c>
      <c r="X55" s="41">
        <v>4894</v>
      </c>
      <c r="Y55" s="41">
        <v>-1088</v>
      </c>
      <c r="Z55" s="41">
        <v>-1088</v>
      </c>
      <c r="AA55" s="41"/>
      <c r="AB55" s="41">
        <v>54.57</v>
      </c>
      <c r="AC55" s="41">
        <v>54.57</v>
      </c>
      <c r="AE55" s="41">
        <v>47.67</v>
      </c>
      <c r="AF55" s="41">
        <v>47.67</v>
      </c>
      <c r="AG55" s="41">
        <v>47.67</v>
      </c>
      <c r="AH55" s="41">
        <v>47.67</v>
      </c>
      <c r="AQ55" s="41">
        <v>1302</v>
      </c>
      <c r="AR55" s="41"/>
      <c r="AS55" s="41"/>
      <c r="AT55" s="41"/>
      <c r="AU55" s="41">
        <v>492</v>
      </c>
      <c r="AV55" s="41">
        <v>492</v>
      </c>
      <c r="AW55" s="41">
        <v>43.83</v>
      </c>
      <c r="AX55" s="41">
        <v>43.83</v>
      </c>
      <c r="AY55" s="41">
        <v>62.42</v>
      </c>
      <c r="AZ55" s="41">
        <v>62.42</v>
      </c>
      <c r="BA55" s="41">
        <v>62.42</v>
      </c>
      <c r="BB55" s="41">
        <v>56.33</v>
      </c>
      <c r="BC55" s="41">
        <v>56.33</v>
      </c>
      <c r="BD55" s="41">
        <v>56.33</v>
      </c>
      <c r="BE55" s="41">
        <v>-30.1</v>
      </c>
      <c r="BF55" s="41">
        <v>-30.1</v>
      </c>
      <c r="BG55" s="59">
        <v>0</v>
      </c>
      <c r="BH55" s="57">
        <v>-255.4</v>
      </c>
      <c r="BI55" s="57">
        <v>-34.68</v>
      </c>
      <c r="BJ55" s="57">
        <v>-34.68</v>
      </c>
      <c r="BK55" s="57">
        <v>-34.68</v>
      </c>
      <c r="BL55" s="57">
        <v>514.6</v>
      </c>
      <c r="BP55" s="57">
        <v>70.14</v>
      </c>
      <c r="BQ55" s="57"/>
      <c r="BV55" s="57"/>
      <c r="DP55" s="75"/>
    </row>
    <row r="56" spans="1:120" x14ac:dyDescent="0.3">
      <c r="A56" s="10">
        <v>53</v>
      </c>
      <c r="B56" s="11" t="s">
        <v>62</v>
      </c>
      <c r="C56" s="11">
        <v>25</v>
      </c>
      <c r="D56" s="11" t="s">
        <v>62</v>
      </c>
      <c r="E56" s="11">
        <v>1.1561999999999999</v>
      </c>
      <c r="F56" s="11">
        <v>0.84399999999999997</v>
      </c>
      <c r="G56" s="40"/>
      <c r="H56" s="41">
        <v>924.8</v>
      </c>
      <c r="I56" s="41">
        <v>924.8</v>
      </c>
      <c r="J56" s="41">
        <v>924.8</v>
      </c>
      <c r="K56" s="41">
        <v>924.8</v>
      </c>
      <c r="L56" s="41"/>
      <c r="M56" s="41"/>
      <c r="N56" s="41"/>
      <c r="O56" s="41"/>
      <c r="P56" s="41">
        <v>-878.1</v>
      </c>
      <c r="Q56" s="41">
        <v>-878.1</v>
      </c>
      <c r="R56" s="41">
        <v>-107.3</v>
      </c>
      <c r="S56" s="41">
        <v>-107.3</v>
      </c>
      <c r="T56" s="41">
        <v>-107.3</v>
      </c>
      <c r="U56" s="41">
        <v>-597.1</v>
      </c>
      <c r="W56" s="41">
        <v>-97.27</v>
      </c>
      <c r="X56" s="41"/>
      <c r="Y56" s="41">
        <v>902.6</v>
      </c>
      <c r="Z56" s="41">
        <v>902.6</v>
      </c>
      <c r="AA56" s="41"/>
      <c r="AB56" s="41">
        <v>629</v>
      </c>
      <c r="AC56" s="41">
        <v>629</v>
      </c>
      <c r="AE56" s="41"/>
      <c r="AF56" s="41"/>
      <c r="AG56" s="41"/>
      <c r="AH56" s="41"/>
      <c r="AQ56" s="41"/>
      <c r="AR56" s="41">
        <v>-387.7</v>
      </c>
      <c r="AS56" s="41">
        <v>-387.7</v>
      </c>
      <c r="AT56" s="41">
        <v>-387.7</v>
      </c>
      <c r="AU56" s="41">
        <v>346.2</v>
      </c>
      <c r="AV56" s="41">
        <v>346.2</v>
      </c>
      <c r="AW56" s="41">
        <v>874.3</v>
      </c>
      <c r="AX56" s="41">
        <v>874.3</v>
      </c>
      <c r="AY56" s="41"/>
      <c r="AZ56" s="41"/>
      <c r="BA56" s="41"/>
      <c r="BB56" s="41"/>
      <c r="BC56" s="41"/>
      <c r="BD56" s="41"/>
      <c r="BE56" s="41"/>
      <c r="BF56" s="41"/>
      <c r="BG56" s="41">
        <v>475.8</v>
      </c>
      <c r="BH56" s="59">
        <v>0</v>
      </c>
      <c r="BI56" s="57">
        <v>794.4</v>
      </c>
      <c r="BJ56" s="57">
        <v>794.4</v>
      </c>
      <c r="BK56" s="57">
        <v>794.4</v>
      </c>
      <c r="BL56" s="57"/>
      <c r="BP56" s="57"/>
      <c r="BQ56" s="57">
        <v>-241.7</v>
      </c>
      <c r="BV56" s="57"/>
      <c r="DP56" s="75"/>
    </row>
    <row r="57" spans="1:120" ht="15.6" x14ac:dyDescent="0.3">
      <c r="A57" s="10">
        <v>54</v>
      </c>
      <c r="B57" s="11" t="s">
        <v>64</v>
      </c>
      <c r="C57" s="11">
        <v>26</v>
      </c>
      <c r="D57" s="11" t="s">
        <v>63</v>
      </c>
      <c r="E57" s="11">
        <v>2.0085999999999999</v>
      </c>
      <c r="F57" s="11">
        <v>1.8680000000000001</v>
      </c>
      <c r="G57" s="40"/>
      <c r="H57" s="41">
        <v>556.70000000000005</v>
      </c>
      <c r="I57" s="41">
        <v>556.70000000000005</v>
      </c>
      <c r="J57" s="41">
        <v>556.70000000000005</v>
      </c>
      <c r="K57" s="41">
        <v>556.70000000000005</v>
      </c>
      <c r="L57" s="41">
        <v>425.7</v>
      </c>
      <c r="M57" s="41">
        <v>425.7</v>
      </c>
      <c r="N57" s="41">
        <v>425.7</v>
      </c>
      <c r="O57" s="41">
        <v>425.7</v>
      </c>
      <c r="P57" s="41">
        <v>-1.77</v>
      </c>
      <c r="Q57" s="41">
        <v>-1.77</v>
      </c>
      <c r="R57" s="41">
        <v>36.29</v>
      </c>
      <c r="S57" s="41">
        <v>36.29</v>
      </c>
      <c r="T57" s="41">
        <v>36.29</v>
      </c>
      <c r="U57" s="41">
        <v>-30.7</v>
      </c>
      <c r="W57" s="41">
        <v>1539</v>
      </c>
      <c r="X57" s="41"/>
      <c r="Y57" s="41">
        <v>400</v>
      </c>
      <c r="Z57" s="41">
        <v>400</v>
      </c>
      <c r="AA57" s="41"/>
      <c r="AB57" s="41"/>
      <c r="AC57" s="41"/>
      <c r="AE57" s="41">
        <v>95.18</v>
      </c>
      <c r="AF57" s="41">
        <v>95.18</v>
      </c>
      <c r="AG57" s="41">
        <v>95.18</v>
      </c>
      <c r="AH57" s="41">
        <v>95.18</v>
      </c>
      <c r="AQ57" s="41"/>
      <c r="AR57" s="41"/>
      <c r="AS57" s="41"/>
      <c r="AT57" s="41"/>
      <c r="AU57" s="41"/>
      <c r="AV57" s="41"/>
      <c r="AW57" s="41">
        <v>446.3</v>
      </c>
      <c r="AX57" s="41">
        <v>446.3</v>
      </c>
      <c r="AY57" s="41"/>
      <c r="AZ57" s="41"/>
      <c r="BA57" s="41"/>
      <c r="BB57" s="41"/>
      <c r="BC57" s="41"/>
      <c r="BD57" s="41"/>
      <c r="BE57" s="41"/>
      <c r="BF57" s="41"/>
      <c r="BG57" s="41">
        <v>490.9</v>
      </c>
      <c r="BH57" s="41">
        <v>-154.5</v>
      </c>
      <c r="BI57" s="59">
        <v>0</v>
      </c>
      <c r="BJ57" s="57">
        <v>0</v>
      </c>
      <c r="BK57" s="57">
        <v>0</v>
      </c>
      <c r="BL57" s="57"/>
      <c r="BP57" s="57"/>
      <c r="BQ57" s="57">
        <v>481.3</v>
      </c>
      <c r="BV57" s="57"/>
      <c r="DP57" s="75"/>
    </row>
    <row r="58" spans="1:120" ht="15.6" x14ac:dyDescent="0.3">
      <c r="A58" s="10">
        <v>55</v>
      </c>
      <c r="B58" s="11" t="s">
        <v>65</v>
      </c>
      <c r="C58" s="11">
        <v>26</v>
      </c>
      <c r="D58" s="11" t="s">
        <v>63</v>
      </c>
      <c r="E58" s="11">
        <v>1.7818000000000001</v>
      </c>
      <c r="F58" s="11">
        <v>1.56</v>
      </c>
      <c r="G58" s="40"/>
      <c r="H58" s="41">
        <v>556.70000000000005</v>
      </c>
      <c r="I58" s="41">
        <v>556.70000000000005</v>
      </c>
      <c r="J58" s="41">
        <v>556.70000000000005</v>
      </c>
      <c r="K58" s="41">
        <v>556.70000000000005</v>
      </c>
      <c r="L58" s="41">
        <v>425.7</v>
      </c>
      <c r="M58" s="41">
        <v>425.7</v>
      </c>
      <c r="N58" s="41">
        <v>425.7</v>
      </c>
      <c r="O58" s="41">
        <v>425.7</v>
      </c>
      <c r="P58" s="41">
        <v>-1.77</v>
      </c>
      <c r="Q58" s="41">
        <v>-1.77</v>
      </c>
      <c r="R58" s="41">
        <v>36.29</v>
      </c>
      <c r="S58" s="41">
        <v>36.29</v>
      </c>
      <c r="T58" s="41">
        <v>36.29</v>
      </c>
      <c r="U58" s="41">
        <v>-30.7</v>
      </c>
      <c r="W58" s="41">
        <v>1539</v>
      </c>
      <c r="X58" s="41"/>
      <c r="Y58" s="41">
        <v>400</v>
      </c>
      <c r="Z58" s="41">
        <v>400</v>
      </c>
      <c r="AA58" s="41"/>
      <c r="AB58" s="41"/>
      <c r="AC58" s="41"/>
      <c r="AE58" s="41">
        <v>95.18</v>
      </c>
      <c r="AF58" s="41">
        <v>95.18</v>
      </c>
      <c r="AG58" s="41">
        <v>95.18</v>
      </c>
      <c r="AH58" s="41">
        <v>95.18</v>
      </c>
      <c r="AQ58" s="41"/>
      <c r="AR58" s="41"/>
      <c r="AS58" s="41"/>
      <c r="AT58" s="41"/>
      <c r="AU58" s="41"/>
      <c r="AV58" s="41"/>
      <c r="AW58" s="41">
        <v>446.3</v>
      </c>
      <c r="AX58" s="41">
        <v>446.3</v>
      </c>
      <c r="AY58" s="41"/>
      <c r="AZ58" s="41"/>
      <c r="BA58" s="41"/>
      <c r="BB58" s="41"/>
      <c r="BC58" s="41"/>
      <c r="BD58" s="41"/>
      <c r="BE58" s="41"/>
      <c r="BF58" s="41"/>
      <c r="BG58" s="41">
        <v>490.9</v>
      </c>
      <c r="BH58" s="41">
        <v>-154.5</v>
      </c>
      <c r="BI58" s="41">
        <v>0</v>
      </c>
      <c r="BJ58" s="59">
        <v>0</v>
      </c>
      <c r="BK58" s="57">
        <v>0</v>
      </c>
      <c r="BL58" s="57"/>
      <c r="BP58" s="57"/>
      <c r="BQ58" s="57">
        <v>481.3</v>
      </c>
      <c r="BV58" s="57"/>
      <c r="DP58" s="75"/>
    </row>
    <row r="59" spans="1:120" ht="15.6" x14ac:dyDescent="0.3">
      <c r="A59" s="10">
        <v>56</v>
      </c>
      <c r="B59" s="11" t="s">
        <v>66</v>
      </c>
      <c r="C59" s="11">
        <v>26</v>
      </c>
      <c r="D59" s="11" t="s">
        <v>63</v>
      </c>
      <c r="E59" s="11">
        <v>1.5544</v>
      </c>
      <c r="F59" s="11">
        <v>1.248</v>
      </c>
      <c r="G59" s="40"/>
      <c r="H59" s="41">
        <v>556.70000000000005</v>
      </c>
      <c r="I59" s="41">
        <v>556.70000000000005</v>
      </c>
      <c r="J59" s="41">
        <v>556.70000000000005</v>
      </c>
      <c r="K59" s="41">
        <v>556.70000000000005</v>
      </c>
      <c r="L59" s="41">
        <v>425.7</v>
      </c>
      <c r="M59" s="41">
        <v>425.7</v>
      </c>
      <c r="N59" s="41">
        <v>425.7</v>
      </c>
      <c r="O59" s="41">
        <v>425.7</v>
      </c>
      <c r="P59" s="41">
        <v>-1.77</v>
      </c>
      <c r="Q59" s="41">
        <v>-1.77</v>
      </c>
      <c r="R59" s="41">
        <v>36.29</v>
      </c>
      <c r="S59" s="41">
        <v>36.29</v>
      </c>
      <c r="T59" s="41">
        <v>36.29</v>
      </c>
      <c r="U59" s="41">
        <v>-30.7</v>
      </c>
      <c r="W59" s="41">
        <v>1539</v>
      </c>
      <c r="X59" s="41"/>
      <c r="Y59" s="41">
        <v>400</v>
      </c>
      <c r="Z59" s="41">
        <v>400</v>
      </c>
      <c r="AA59" s="41"/>
      <c r="AB59" s="41"/>
      <c r="AC59" s="41"/>
      <c r="AE59" s="41">
        <v>95.18</v>
      </c>
      <c r="AF59" s="41">
        <v>95.18</v>
      </c>
      <c r="AG59" s="41">
        <v>95.18</v>
      </c>
      <c r="AH59" s="41">
        <v>95.18</v>
      </c>
      <c r="AQ59" s="41"/>
      <c r="AR59" s="41"/>
      <c r="AS59" s="41"/>
      <c r="AT59" s="41"/>
      <c r="AU59" s="41"/>
      <c r="AV59" s="41"/>
      <c r="AW59" s="41">
        <v>446.3</v>
      </c>
      <c r="AX59" s="41">
        <v>446.3</v>
      </c>
      <c r="AY59" s="41"/>
      <c r="AZ59" s="41"/>
      <c r="BA59" s="41"/>
      <c r="BB59" s="41"/>
      <c r="BC59" s="41"/>
      <c r="BD59" s="41"/>
      <c r="BE59" s="41"/>
      <c r="BF59" s="41"/>
      <c r="BG59" s="41">
        <v>490.9</v>
      </c>
      <c r="BH59" s="41">
        <v>-154.5</v>
      </c>
      <c r="BI59" s="41">
        <v>0</v>
      </c>
      <c r="BJ59" s="41">
        <v>0</v>
      </c>
      <c r="BK59" s="59">
        <v>0</v>
      </c>
      <c r="BL59" s="57"/>
      <c r="BP59" s="57"/>
      <c r="BQ59" s="57">
        <v>481.3</v>
      </c>
      <c r="BV59" s="57"/>
      <c r="DP59" s="75"/>
    </row>
    <row r="60" spans="1:120" ht="15.6" x14ac:dyDescent="0.3">
      <c r="A60" s="10">
        <v>57</v>
      </c>
      <c r="B60" s="11" t="s">
        <v>67</v>
      </c>
      <c r="C60" s="11">
        <v>27</v>
      </c>
      <c r="D60" s="11" t="s">
        <v>67</v>
      </c>
      <c r="E60" s="11">
        <v>1.4198999999999999</v>
      </c>
      <c r="F60" s="11">
        <v>1.1040000000000001</v>
      </c>
      <c r="G60" s="40"/>
      <c r="H60" s="41">
        <v>575.70000000000005</v>
      </c>
      <c r="I60" s="41">
        <v>575.70000000000005</v>
      </c>
      <c r="J60" s="41">
        <v>575.70000000000005</v>
      </c>
      <c r="K60" s="41">
        <v>575.70000000000005</v>
      </c>
      <c r="L60" s="41"/>
      <c r="M60" s="41"/>
      <c r="N60" s="41"/>
      <c r="O60" s="41"/>
      <c r="P60" s="41">
        <v>-11.19</v>
      </c>
      <c r="Q60" s="41">
        <v>-11.19</v>
      </c>
      <c r="R60" s="41">
        <v>-175.6</v>
      </c>
      <c r="S60" s="41">
        <v>-175.6</v>
      </c>
      <c r="T60" s="41">
        <v>-175.6</v>
      </c>
      <c r="U60" s="41">
        <v>-159</v>
      </c>
      <c r="W60" s="41">
        <v>32.92</v>
      </c>
      <c r="X60" s="41">
        <v>-16.13</v>
      </c>
      <c r="Y60" s="41">
        <v>-328.6</v>
      </c>
      <c r="Z60" s="41">
        <v>-328.6</v>
      </c>
      <c r="AA60" s="41"/>
      <c r="AB60" s="41"/>
      <c r="AC60" s="41"/>
      <c r="AE60" s="41"/>
      <c r="AF60" s="41"/>
      <c r="AG60" s="41"/>
      <c r="AH60" s="41"/>
      <c r="AQ60" s="41">
        <v>179.9</v>
      </c>
      <c r="AR60" s="41"/>
      <c r="AS60" s="41"/>
      <c r="AT60" s="41"/>
      <c r="AU60" s="41"/>
      <c r="AV60" s="41"/>
      <c r="AW60" s="41"/>
      <c r="AX60" s="41"/>
      <c r="AY60" s="41"/>
      <c r="AZ60" s="41"/>
      <c r="BA60" s="41"/>
      <c r="BB60" s="41"/>
      <c r="BC60" s="41"/>
      <c r="BD60" s="41"/>
      <c r="BE60" s="41"/>
      <c r="BF60" s="41"/>
      <c r="BG60" s="41">
        <v>534.70000000000005</v>
      </c>
      <c r="BH60" s="41"/>
      <c r="BI60" s="41"/>
      <c r="BJ60" s="41"/>
      <c r="BK60" s="41"/>
      <c r="BL60" s="59">
        <v>0</v>
      </c>
      <c r="BP60" s="57"/>
      <c r="BQ60" s="57">
        <v>-246</v>
      </c>
      <c r="BV60" s="57"/>
      <c r="DP60" s="75"/>
    </row>
    <row r="61" spans="1:120" s="72" customFormat="1" ht="15.6" x14ac:dyDescent="0.3">
      <c r="A61" s="71">
        <v>58</v>
      </c>
      <c r="B61" s="72" t="s">
        <v>68</v>
      </c>
      <c r="C61" s="72">
        <v>28</v>
      </c>
      <c r="D61" s="72" t="s">
        <v>68</v>
      </c>
      <c r="E61" s="72">
        <v>2.0569999999999999</v>
      </c>
      <c r="F61" s="72">
        <v>1.65</v>
      </c>
      <c r="G61" s="71"/>
      <c r="BM61" s="80">
        <v>0</v>
      </c>
      <c r="DP61" s="75"/>
    </row>
    <row r="62" spans="1:120" s="72" customFormat="1" ht="15.6" x14ac:dyDescent="0.3">
      <c r="A62" s="71">
        <v>59</v>
      </c>
      <c r="B62" s="72" t="s">
        <v>69</v>
      </c>
      <c r="C62" s="72">
        <v>29</v>
      </c>
      <c r="D62" s="72" t="s">
        <v>69</v>
      </c>
      <c r="E62" s="72">
        <v>1.877</v>
      </c>
      <c r="F62" s="72">
        <v>1.6759999999999999</v>
      </c>
      <c r="G62" s="71"/>
      <c r="BN62" s="80">
        <v>0</v>
      </c>
      <c r="DP62" s="75"/>
    </row>
    <row r="63" spans="1:120" s="72" customFormat="1" ht="15.6" x14ac:dyDescent="0.3">
      <c r="A63" s="71">
        <v>60</v>
      </c>
      <c r="B63" s="72" t="s">
        <v>70</v>
      </c>
      <c r="C63" s="72">
        <v>29</v>
      </c>
      <c r="D63" s="72" t="s">
        <v>69</v>
      </c>
      <c r="E63" s="72">
        <v>1.651</v>
      </c>
      <c r="F63" s="72">
        <v>1.3680000000000001</v>
      </c>
      <c r="G63" s="71"/>
      <c r="BO63" s="80">
        <v>0</v>
      </c>
      <c r="DP63" s="75"/>
    </row>
    <row r="64" spans="1:120" ht="15.6" x14ac:dyDescent="0.3">
      <c r="A64" s="10">
        <v>61</v>
      </c>
      <c r="B64" s="11" t="s">
        <v>72</v>
      </c>
      <c r="C64" s="11">
        <v>30</v>
      </c>
      <c r="D64" s="11" t="s">
        <v>71</v>
      </c>
      <c r="E64" s="11">
        <v>3.1680000000000001</v>
      </c>
      <c r="F64" s="11">
        <v>2.484</v>
      </c>
      <c r="G64" s="40"/>
      <c r="H64" s="41">
        <v>383</v>
      </c>
      <c r="I64" s="41">
        <v>383</v>
      </c>
      <c r="J64" s="41">
        <v>383</v>
      </c>
      <c r="K64" s="41">
        <v>383</v>
      </c>
      <c r="L64" s="41"/>
      <c r="M64" s="41"/>
      <c r="N64" s="41"/>
      <c r="O64" s="41"/>
      <c r="P64" s="41">
        <v>715.6</v>
      </c>
      <c r="Q64" s="41">
        <v>715.6</v>
      </c>
      <c r="R64" s="41">
        <v>715.6</v>
      </c>
      <c r="S64" s="41">
        <v>715.6</v>
      </c>
      <c r="T64" s="41">
        <v>715.6</v>
      </c>
      <c r="U64" s="41">
        <v>-140.30000000000001</v>
      </c>
      <c r="W64" s="41">
        <v>66.95</v>
      </c>
      <c r="X64" s="41"/>
      <c r="Y64" s="41">
        <v>120.3</v>
      </c>
      <c r="Z64" s="41">
        <v>120.3</v>
      </c>
      <c r="AA64" s="41">
        <v>1724</v>
      </c>
      <c r="AB64" s="41">
        <v>57.7</v>
      </c>
      <c r="AC64" s="41">
        <v>57.7</v>
      </c>
      <c r="AE64" s="41"/>
      <c r="AF64" s="41"/>
      <c r="AG64" s="41"/>
      <c r="AH64" s="41"/>
      <c r="AQ64" s="41"/>
      <c r="AR64" s="41">
        <v>-208.4</v>
      </c>
      <c r="AS64" s="41">
        <v>-208.4</v>
      </c>
      <c r="AT64" s="41">
        <v>-208.4</v>
      </c>
      <c r="AU64" s="41"/>
      <c r="AV64" s="41"/>
      <c r="AW64" s="41">
        <v>1919</v>
      </c>
      <c r="AX64" s="41">
        <v>1919</v>
      </c>
      <c r="AY64" s="41"/>
      <c r="AZ64" s="41"/>
      <c r="BA64" s="41"/>
      <c r="BB64" s="41">
        <v>-347.9</v>
      </c>
      <c r="BC64" s="41">
        <v>-347.9</v>
      </c>
      <c r="BD64" s="41">
        <v>-347.9</v>
      </c>
      <c r="BE64" s="41">
        <v>-249.3</v>
      </c>
      <c r="BF64" s="41">
        <v>-249.3</v>
      </c>
      <c r="BG64" s="41">
        <v>61.59</v>
      </c>
      <c r="BH64" s="41"/>
      <c r="BI64" s="41"/>
      <c r="BJ64" s="41"/>
      <c r="BK64" s="41"/>
      <c r="BL64" s="41"/>
      <c r="BP64" s="59">
        <v>0</v>
      </c>
      <c r="BQ64" s="57">
        <v>-75.23</v>
      </c>
      <c r="BV64" s="57"/>
      <c r="DP64" s="75"/>
    </row>
    <row r="65" spans="1:120" x14ac:dyDescent="0.3">
      <c r="A65" s="10">
        <v>62</v>
      </c>
      <c r="B65" s="11" t="s">
        <v>73</v>
      </c>
      <c r="C65" s="11">
        <v>31</v>
      </c>
      <c r="D65" s="11" t="s">
        <v>73</v>
      </c>
      <c r="E65" s="11">
        <v>2.4087999999999998</v>
      </c>
      <c r="F65" s="11">
        <v>2.2480000000000002</v>
      </c>
      <c r="G65" s="40"/>
      <c r="H65" s="41">
        <v>527.5</v>
      </c>
      <c r="I65" s="41">
        <v>527.5</v>
      </c>
      <c r="J65" s="41">
        <v>527.5</v>
      </c>
      <c r="K65" s="41">
        <v>527.5</v>
      </c>
      <c r="L65" s="41"/>
      <c r="M65" s="41"/>
      <c r="N65" s="41"/>
      <c r="O65" s="41"/>
      <c r="P65" s="41">
        <v>358.9</v>
      </c>
      <c r="Q65" s="41">
        <v>358.9</v>
      </c>
      <c r="R65" s="41">
        <v>337.7</v>
      </c>
      <c r="S65" s="41">
        <v>337.7</v>
      </c>
      <c r="T65" s="41">
        <v>337.7</v>
      </c>
      <c r="U65" s="41">
        <v>536.6</v>
      </c>
      <c r="W65" s="41">
        <v>-269.2</v>
      </c>
      <c r="X65" s="41">
        <v>-538.6</v>
      </c>
      <c r="Y65" s="41">
        <v>211.6</v>
      </c>
      <c r="Z65" s="41">
        <v>211.6</v>
      </c>
      <c r="AA65" s="41"/>
      <c r="AB65" s="41">
        <v>343.1</v>
      </c>
      <c r="AC65" s="41">
        <v>343.1</v>
      </c>
      <c r="AE65" s="41"/>
      <c r="AF65" s="41"/>
      <c r="AG65" s="41"/>
      <c r="AH65" s="41"/>
      <c r="AQ65" s="41">
        <v>125.3</v>
      </c>
      <c r="AR65" s="41"/>
      <c r="AS65" s="41"/>
      <c r="AT65" s="41"/>
      <c r="AU65" s="41"/>
      <c r="AV65" s="41"/>
      <c r="AW65" s="41">
        <v>572.70000000000005</v>
      </c>
      <c r="AX65" s="41">
        <v>572.70000000000005</v>
      </c>
      <c r="AY65" s="41"/>
      <c r="AZ65" s="41"/>
      <c r="BA65" s="41"/>
      <c r="BB65" s="41"/>
      <c r="BC65" s="41"/>
      <c r="BD65" s="41"/>
      <c r="BE65" s="41"/>
      <c r="BF65" s="41"/>
      <c r="BG65" s="41"/>
      <c r="BH65" s="41">
        <v>124.8</v>
      </c>
      <c r="BI65" s="41">
        <v>139.80000000000001</v>
      </c>
      <c r="BJ65" s="41">
        <v>139.80000000000001</v>
      </c>
      <c r="BK65" s="41">
        <v>139.80000000000001</v>
      </c>
      <c r="BL65" s="41">
        <v>963</v>
      </c>
      <c r="BP65" s="41">
        <v>-278.2</v>
      </c>
      <c r="BQ65" s="59">
        <v>0</v>
      </c>
      <c r="BV65" s="57"/>
      <c r="DP65" s="75"/>
    </row>
    <row r="66" spans="1:120" s="72" customFormat="1" x14ac:dyDescent="0.3">
      <c r="A66" s="71">
        <v>63</v>
      </c>
      <c r="B66" s="72" t="s">
        <v>74</v>
      </c>
      <c r="C66" s="72">
        <v>32</v>
      </c>
      <c r="D66" s="72" t="s">
        <v>74</v>
      </c>
      <c r="E66" s="72">
        <v>1.264</v>
      </c>
      <c r="F66" s="72">
        <v>0.99199999999999999</v>
      </c>
      <c r="G66" s="71"/>
      <c r="BR66" s="80">
        <v>0</v>
      </c>
      <c r="DP66" s="75"/>
    </row>
    <row r="67" spans="1:120" s="72" customFormat="1" x14ac:dyDescent="0.3">
      <c r="A67" s="71">
        <v>64</v>
      </c>
      <c r="B67" s="72" t="s">
        <v>75</v>
      </c>
      <c r="C67" s="72">
        <v>33</v>
      </c>
      <c r="D67" s="72" t="s">
        <v>75</v>
      </c>
      <c r="E67" s="72">
        <v>0.94920000000000004</v>
      </c>
      <c r="F67" s="72">
        <v>0.83199999999999996</v>
      </c>
      <c r="G67" s="71"/>
      <c r="BS67" s="80">
        <v>0</v>
      </c>
      <c r="DP67" s="75"/>
    </row>
    <row r="68" spans="1:120" s="72" customFormat="1" x14ac:dyDescent="0.3">
      <c r="A68" s="71">
        <v>65</v>
      </c>
      <c r="B68" s="72" t="s">
        <v>80</v>
      </c>
      <c r="C68" s="72">
        <v>34</v>
      </c>
      <c r="D68" s="72" t="s">
        <v>81</v>
      </c>
      <c r="E68" s="72">
        <v>1.292</v>
      </c>
      <c r="F68" s="72">
        <v>1.0880000000000001</v>
      </c>
      <c r="G68" s="71"/>
      <c r="BT68" s="80">
        <v>0</v>
      </c>
      <c r="DP68" s="75"/>
    </row>
    <row r="69" spans="1:120" s="72" customFormat="1" x14ac:dyDescent="0.3">
      <c r="A69" s="71">
        <v>66</v>
      </c>
      <c r="B69" s="72" t="s">
        <v>81</v>
      </c>
      <c r="C69" s="72">
        <v>34</v>
      </c>
      <c r="D69" s="72" t="s">
        <v>81</v>
      </c>
      <c r="E69" s="72">
        <v>1.0612999999999999</v>
      </c>
      <c r="F69" s="72">
        <v>0.78400000000000003</v>
      </c>
      <c r="G69" s="71"/>
      <c r="BU69" s="80">
        <v>0</v>
      </c>
      <c r="DP69" s="75"/>
    </row>
    <row r="70" spans="1:120" x14ac:dyDescent="0.3">
      <c r="A70" s="10">
        <v>67</v>
      </c>
      <c r="B70" s="11" t="s">
        <v>76</v>
      </c>
      <c r="C70" s="11">
        <v>35</v>
      </c>
      <c r="D70" s="11" t="s">
        <v>76</v>
      </c>
      <c r="E70" s="11">
        <v>2.8266</v>
      </c>
      <c r="F70" s="11">
        <v>2.472</v>
      </c>
      <c r="G70" s="40"/>
      <c r="H70" s="41">
        <v>956.5</v>
      </c>
      <c r="I70" s="41">
        <v>956.5</v>
      </c>
      <c r="J70" s="41">
        <v>956.5</v>
      </c>
      <c r="K70" s="41">
        <v>956.5</v>
      </c>
      <c r="L70" s="41">
        <v>265.39999999999998</v>
      </c>
      <c r="M70" s="41">
        <v>265.39999999999998</v>
      </c>
      <c r="N70" s="41">
        <v>265.39999999999998</v>
      </c>
      <c r="O70" s="41">
        <v>265.39999999999998</v>
      </c>
      <c r="P70" s="41">
        <v>84.16</v>
      </c>
      <c r="Q70" s="41">
        <v>84.16</v>
      </c>
      <c r="R70" s="41">
        <v>132.19999999999999</v>
      </c>
      <c r="S70" s="41">
        <v>132.19999999999999</v>
      </c>
      <c r="T70" s="41">
        <v>132.19999999999999</v>
      </c>
      <c r="U70" s="41"/>
      <c r="W70" s="41"/>
      <c r="X70" s="41"/>
      <c r="Y70" s="41"/>
      <c r="Z70" s="41"/>
      <c r="AA70" s="41"/>
      <c r="AB70" s="41"/>
      <c r="AC70" s="41"/>
      <c r="AE70" s="41"/>
      <c r="AF70" s="41"/>
      <c r="AG70" s="41"/>
      <c r="AH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1"/>
      <c r="BC70" s="41"/>
      <c r="BD70" s="41"/>
      <c r="BE70" s="41"/>
      <c r="BF70" s="41"/>
      <c r="BG70" s="41"/>
      <c r="BH70" s="41"/>
      <c r="BI70" s="41"/>
      <c r="BJ70" s="41"/>
      <c r="BK70" s="41"/>
      <c r="BL70" s="41"/>
      <c r="BP70" s="41"/>
      <c r="BQ70" s="41"/>
      <c r="BV70" s="59">
        <v>0</v>
      </c>
      <c r="DP70" s="75"/>
    </row>
    <row r="71" spans="1:120" s="72" customFormat="1" hidden="1" x14ac:dyDescent="0.3">
      <c r="A71" s="71">
        <v>68</v>
      </c>
      <c r="B71" s="72" t="s">
        <v>77</v>
      </c>
      <c r="C71" s="72">
        <v>36</v>
      </c>
      <c r="D71" s="72" t="s">
        <v>77</v>
      </c>
      <c r="E71" s="72">
        <v>2.3144</v>
      </c>
      <c r="F71" s="72">
        <v>2.052</v>
      </c>
      <c r="G71" s="71"/>
      <c r="BW71" s="80">
        <v>0</v>
      </c>
      <c r="DP71" s="75"/>
    </row>
    <row r="72" spans="1:120" s="72" customFormat="1" hidden="1" x14ac:dyDescent="0.3">
      <c r="A72" s="71">
        <v>69</v>
      </c>
      <c r="B72" s="72" t="s">
        <v>79</v>
      </c>
      <c r="C72" s="72">
        <v>37</v>
      </c>
      <c r="D72" s="72" t="s">
        <v>78</v>
      </c>
      <c r="E72" s="72">
        <v>0.79100000000000004</v>
      </c>
      <c r="F72" s="72">
        <v>0.72399999999999998</v>
      </c>
      <c r="G72" s="71"/>
      <c r="BX72" s="80">
        <v>0</v>
      </c>
      <c r="DP72" s="75"/>
    </row>
    <row r="73" spans="1:120" s="72" customFormat="1" hidden="1" x14ac:dyDescent="0.3">
      <c r="A73" s="71">
        <v>70</v>
      </c>
      <c r="B73" s="72" t="s">
        <v>82</v>
      </c>
      <c r="C73" s="72">
        <v>2</v>
      </c>
      <c r="D73" s="72" t="s">
        <v>82</v>
      </c>
      <c r="E73" s="72">
        <v>0.66049999999999998</v>
      </c>
      <c r="F73" s="72">
        <v>0.48499999999999999</v>
      </c>
      <c r="G73" s="71"/>
      <c r="BY73" s="80">
        <v>0</v>
      </c>
      <c r="DP73" s="75"/>
    </row>
    <row r="74" spans="1:120" s="72" customFormat="1" hidden="1" x14ac:dyDescent="0.3">
      <c r="A74" s="71">
        <v>71</v>
      </c>
      <c r="B74" s="72" t="s">
        <v>83</v>
      </c>
      <c r="C74" s="72">
        <v>38</v>
      </c>
      <c r="D74" s="72" t="s">
        <v>83</v>
      </c>
      <c r="E74" s="72">
        <v>0.69479999999999997</v>
      </c>
      <c r="F74" s="72">
        <v>0.52400000000000002</v>
      </c>
      <c r="G74" s="71"/>
      <c r="BZ74" s="80">
        <v>0</v>
      </c>
      <c r="DP74" s="75"/>
    </row>
    <row r="75" spans="1:120" s="72" customFormat="1" ht="15.6" hidden="1" x14ac:dyDescent="0.3">
      <c r="A75" s="71">
        <v>72</v>
      </c>
      <c r="B75" s="72" t="s">
        <v>85</v>
      </c>
      <c r="C75" s="72">
        <v>39</v>
      </c>
      <c r="D75" s="72" t="s">
        <v>84</v>
      </c>
      <c r="E75" s="72">
        <v>3.0855999999999999</v>
      </c>
      <c r="F75" s="72">
        <v>2.7360000000000002</v>
      </c>
      <c r="G75" s="71"/>
      <c r="CA75" s="80">
        <v>0</v>
      </c>
      <c r="DP75" s="75"/>
    </row>
    <row r="76" spans="1:120" s="72" customFormat="1" hidden="1" x14ac:dyDescent="0.3">
      <c r="A76" s="71">
        <v>73</v>
      </c>
      <c r="B76" s="72" t="s">
        <v>86</v>
      </c>
      <c r="C76" s="72">
        <v>39</v>
      </c>
      <c r="D76" s="72" t="s">
        <v>84</v>
      </c>
      <c r="E76" s="72">
        <v>2.6322000000000001</v>
      </c>
      <c r="F76" s="72">
        <v>2.12</v>
      </c>
      <c r="G76" s="71"/>
      <c r="CB76" s="80">
        <v>0</v>
      </c>
      <c r="DP76" s="75"/>
    </row>
    <row r="77" spans="1:120" s="72" customFormat="1" ht="15.6" hidden="1" x14ac:dyDescent="0.3">
      <c r="A77" s="71">
        <v>74</v>
      </c>
      <c r="B77" s="72" t="s">
        <v>87</v>
      </c>
      <c r="C77" s="72">
        <v>40</v>
      </c>
      <c r="D77" s="72" t="s">
        <v>88</v>
      </c>
      <c r="E77" s="72">
        <v>1.4059999999999999</v>
      </c>
      <c r="F77" s="72">
        <v>1.38</v>
      </c>
      <c r="G77" s="71"/>
      <c r="CC77" s="80">
        <v>0</v>
      </c>
      <c r="DP77" s="75"/>
    </row>
    <row r="78" spans="1:120" s="72" customFormat="1" ht="15.6" hidden="1" x14ac:dyDescent="0.3">
      <c r="A78" s="71">
        <v>75</v>
      </c>
      <c r="B78" s="72" t="s">
        <v>88</v>
      </c>
      <c r="C78" s="72">
        <v>40</v>
      </c>
      <c r="D78" s="72" t="s">
        <v>88</v>
      </c>
      <c r="E78" s="72">
        <v>1.0105</v>
      </c>
      <c r="F78" s="72">
        <v>0.92</v>
      </c>
      <c r="G78" s="71"/>
      <c r="CD78" s="80">
        <v>0</v>
      </c>
      <c r="DP78" s="75"/>
    </row>
    <row r="79" spans="1:120" s="72" customFormat="1" ht="15.6" hidden="1" x14ac:dyDescent="0.3">
      <c r="A79" s="71">
        <v>76</v>
      </c>
      <c r="B79" s="72" t="s">
        <v>89</v>
      </c>
      <c r="C79" s="72">
        <v>40</v>
      </c>
      <c r="D79" s="72" t="s">
        <v>88</v>
      </c>
      <c r="E79" s="72">
        <v>0.61499999999999999</v>
      </c>
      <c r="F79" s="72">
        <v>0.46</v>
      </c>
      <c r="G79" s="71"/>
      <c r="CE79" s="80">
        <v>0</v>
      </c>
      <c r="DP79" s="75"/>
    </row>
    <row r="80" spans="1:120" s="72" customFormat="1" hidden="1" x14ac:dyDescent="0.3">
      <c r="A80" s="71">
        <v>77</v>
      </c>
      <c r="B80" s="72" t="s">
        <v>90</v>
      </c>
      <c r="C80" s="72">
        <v>41</v>
      </c>
      <c r="D80" s="72" t="s">
        <v>90</v>
      </c>
      <c r="E80" s="72">
        <v>1.38</v>
      </c>
      <c r="F80" s="72">
        <v>1.2</v>
      </c>
      <c r="G80" s="71"/>
      <c r="CF80" s="80">
        <v>0</v>
      </c>
      <c r="DP80" s="75"/>
    </row>
    <row r="81" spans="1:120" s="72" customFormat="1" ht="15.6" hidden="1" x14ac:dyDescent="0.3">
      <c r="A81" s="71">
        <v>78</v>
      </c>
      <c r="B81" s="72" t="s">
        <v>94</v>
      </c>
      <c r="C81" s="72">
        <v>42</v>
      </c>
      <c r="D81" s="72" t="s">
        <v>91</v>
      </c>
      <c r="E81" s="72">
        <v>1.6034999999999999</v>
      </c>
      <c r="F81" s="72">
        <v>1.2632000000000001</v>
      </c>
      <c r="G81" s="71"/>
      <c r="CG81" s="80">
        <v>0</v>
      </c>
      <c r="DP81" s="75"/>
    </row>
    <row r="82" spans="1:120" s="72" customFormat="1" ht="15.6" hidden="1" x14ac:dyDescent="0.3">
      <c r="A82" s="71">
        <v>79</v>
      </c>
      <c r="B82" s="72" t="s">
        <v>91</v>
      </c>
      <c r="C82" s="72">
        <v>42</v>
      </c>
      <c r="D82" s="72" t="s">
        <v>91</v>
      </c>
      <c r="E82" s="72">
        <v>1.4442999999999999</v>
      </c>
      <c r="F82" s="72">
        <v>1.0063</v>
      </c>
      <c r="G82" s="71"/>
      <c r="CH82" s="80">
        <v>0</v>
      </c>
      <c r="DP82" s="75"/>
    </row>
    <row r="83" spans="1:120" s="72" customFormat="1" ht="15.6" hidden="1" x14ac:dyDescent="0.3">
      <c r="A83" s="71">
        <v>80</v>
      </c>
      <c r="B83" s="72" t="s">
        <v>92</v>
      </c>
      <c r="C83" s="72">
        <v>42</v>
      </c>
      <c r="D83" s="72" t="s">
        <v>91</v>
      </c>
      <c r="E83" s="72">
        <v>1.2853000000000001</v>
      </c>
      <c r="F83" s="72">
        <v>0.74939999999999996</v>
      </c>
      <c r="G83" s="71"/>
      <c r="CI83" s="80">
        <v>0</v>
      </c>
      <c r="DP83" s="75"/>
    </row>
    <row r="84" spans="1:120" s="72" customFormat="1" ht="15.6" hidden="1" x14ac:dyDescent="0.3">
      <c r="A84" s="71">
        <v>81</v>
      </c>
      <c r="B84" s="72" t="s">
        <v>93</v>
      </c>
      <c r="C84" s="72">
        <v>42</v>
      </c>
      <c r="D84" s="72" t="s">
        <v>91</v>
      </c>
      <c r="E84" s="72">
        <v>1.0469999999999999</v>
      </c>
      <c r="F84" s="72">
        <v>0.40989999999999999</v>
      </c>
      <c r="G84" s="71"/>
      <c r="CJ84" s="80">
        <v>0</v>
      </c>
      <c r="DP84" s="75"/>
    </row>
    <row r="85" spans="1:120" s="72" customFormat="1" ht="15.6" hidden="1" x14ac:dyDescent="0.3">
      <c r="A85" s="71">
        <v>82</v>
      </c>
      <c r="B85" s="72" t="s">
        <v>96</v>
      </c>
      <c r="C85" s="72">
        <v>43</v>
      </c>
      <c r="D85" s="72" t="s">
        <v>95</v>
      </c>
      <c r="E85" s="72">
        <v>1.4838</v>
      </c>
      <c r="F85" s="72">
        <v>1.0621</v>
      </c>
      <c r="G85" s="71"/>
      <c r="CK85" s="80">
        <v>0</v>
      </c>
      <c r="DP85" s="75"/>
    </row>
    <row r="86" spans="1:120" s="72" customFormat="1" hidden="1" x14ac:dyDescent="0.3">
      <c r="A86" s="71">
        <v>83</v>
      </c>
      <c r="B86" s="72" t="s">
        <v>97</v>
      </c>
      <c r="C86" s="72">
        <v>43</v>
      </c>
      <c r="D86" s="72" t="s">
        <v>95</v>
      </c>
      <c r="E86" s="72">
        <v>1.3029999999999999</v>
      </c>
      <c r="F86" s="72">
        <v>0.76390000000000002</v>
      </c>
      <c r="G86" s="71"/>
      <c r="CL86" s="80">
        <v>0</v>
      </c>
      <c r="DP86" s="75"/>
    </row>
    <row r="87" spans="1:120" s="72" customFormat="1" hidden="1" x14ac:dyDescent="0.3">
      <c r="A87" s="71">
        <v>84</v>
      </c>
      <c r="B87" s="72" t="s">
        <v>95</v>
      </c>
      <c r="C87" s="72">
        <v>43</v>
      </c>
      <c r="D87" s="72" t="s">
        <v>95</v>
      </c>
      <c r="E87" s="72">
        <v>1.1044</v>
      </c>
      <c r="F87" s="72">
        <v>0.4657</v>
      </c>
      <c r="G87" s="71"/>
      <c r="CM87" s="80">
        <v>0</v>
      </c>
      <c r="DP87" s="75"/>
    </row>
    <row r="88" spans="1:120" s="72" customFormat="1" hidden="1" x14ac:dyDescent="0.3">
      <c r="A88" s="71">
        <v>85</v>
      </c>
      <c r="B88" s="72" t="s">
        <v>98</v>
      </c>
      <c r="C88" s="72">
        <v>44</v>
      </c>
      <c r="D88" s="72" t="s">
        <v>98</v>
      </c>
      <c r="E88" s="72">
        <v>3.9809999999999999</v>
      </c>
      <c r="F88" s="72">
        <v>3.2</v>
      </c>
      <c r="G88" s="71"/>
      <c r="CN88" s="80">
        <v>0</v>
      </c>
      <c r="DP88" s="75"/>
    </row>
    <row r="89" spans="1:120" s="72" customFormat="1" ht="15.6" hidden="1" x14ac:dyDescent="0.3">
      <c r="A89" s="71">
        <v>86</v>
      </c>
      <c r="B89" s="72" t="s">
        <v>99</v>
      </c>
      <c r="C89" s="72">
        <v>45</v>
      </c>
      <c r="D89" s="72" t="s">
        <v>100</v>
      </c>
      <c r="E89" s="72">
        <v>3.0356000000000001</v>
      </c>
      <c r="F89" s="72">
        <v>2.6440000000000001</v>
      </c>
      <c r="G89" s="71"/>
      <c r="CO89" s="80">
        <v>0</v>
      </c>
      <c r="DP89" s="75"/>
    </row>
    <row r="90" spans="1:120" s="72" customFormat="1" ht="15.6" hidden="1" x14ac:dyDescent="0.3">
      <c r="A90" s="71">
        <v>87</v>
      </c>
      <c r="B90" s="72" t="s">
        <v>101</v>
      </c>
      <c r="C90" s="72">
        <v>45</v>
      </c>
      <c r="D90" s="72" t="s">
        <v>100</v>
      </c>
      <c r="E90" s="72">
        <v>2.2286999999999999</v>
      </c>
      <c r="F90" s="72">
        <v>1.9159999999999999</v>
      </c>
      <c r="G90" s="71"/>
      <c r="CP90" s="80">
        <v>0</v>
      </c>
      <c r="DP90" s="75"/>
    </row>
    <row r="91" spans="1:120" s="72" customFormat="1" ht="15.6" hidden="1" x14ac:dyDescent="0.3">
      <c r="A91" s="71">
        <v>88</v>
      </c>
      <c r="B91" s="72" t="s">
        <v>102</v>
      </c>
      <c r="C91" s="72">
        <v>45</v>
      </c>
      <c r="D91" s="72" t="s">
        <v>100</v>
      </c>
      <c r="E91" s="72">
        <v>2.4060000000000001</v>
      </c>
      <c r="F91" s="72">
        <v>2.1160000000000001</v>
      </c>
      <c r="G91" s="71"/>
      <c r="CQ91" s="80">
        <v>0</v>
      </c>
      <c r="DP91" s="75"/>
    </row>
    <row r="92" spans="1:120" s="72" customFormat="1" hidden="1" x14ac:dyDescent="0.3">
      <c r="A92" s="71">
        <v>89</v>
      </c>
      <c r="B92" s="72" t="s">
        <v>103</v>
      </c>
      <c r="C92" s="72">
        <v>45</v>
      </c>
      <c r="D92" s="72" t="s">
        <v>100</v>
      </c>
      <c r="E92" s="72">
        <v>1.6493</v>
      </c>
      <c r="F92" s="72">
        <v>1.4159999999999999</v>
      </c>
      <c r="G92" s="71"/>
      <c r="CR92" s="80">
        <v>0</v>
      </c>
      <c r="DP92" s="75"/>
    </row>
    <row r="93" spans="1:120" s="72" customFormat="1" ht="15.6" hidden="1" x14ac:dyDescent="0.3">
      <c r="A93" s="71">
        <v>90</v>
      </c>
      <c r="B93" s="72" t="s">
        <v>104</v>
      </c>
      <c r="C93" s="72">
        <v>45</v>
      </c>
      <c r="D93" s="72" t="s">
        <v>100</v>
      </c>
      <c r="E93" s="72">
        <v>1.8173999999999999</v>
      </c>
      <c r="F93" s="72">
        <v>1.6479999999999999</v>
      </c>
      <c r="G93" s="71"/>
      <c r="CS93" s="80">
        <v>0</v>
      </c>
      <c r="DP93" s="75"/>
    </row>
    <row r="94" spans="1:120" s="72" customFormat="1" ht="15.6" hidden="1" x14ac:dyDescent="0.3">
      <c r="A94" s="71">
        <v>91</v>
      </c>
      <c r="B94" s="72" t="s">
        <v>105</v>
      </c>
      <c r="C94" s="72">
        <v>45</v>
      </c>
      <c r="D94" s="72" t="s">
        <v>100</v>
      </c>
      <c r="E94" s="72">
        <v>1.9670000000000001</v>
      </c>
      <c r="F94" s="72">
        <v>1.8280000000000001</v>
      </c>
      <c r="G94" s="71"/>
      <c r="CT94" s="80">
        <v>0</v>
      </c>
      <c r="DP94" s="75"/>
    </row>
    <row r="95" spans="1:120" s="72" customFormat="1" ht="15.6" hidden="1" x14ac:dyDescent="0.3">
      <c r="A95" s="71">
        <v>92</v>
      </c>
      <c r="B95" s="72" t="s">
        <v>106</v>
      </c>
      <c r="C95" s="72">
        <v>45</v>
      </c>
      <c r="D95" s="72" t="s">
        <v>100</v>
      </c>
      <c r="E95" s="72">
        <v>2.1720999999999999</v>
      </c>
      <c r="F95" s="72">
        <v>2.1</v>
      </c>
      <c r="G95" s="71"/>
      <c r="CU95" s="80">
        <v>0</v>
      </c>
      <c r="DP95" s="75"/>
    </row>
    <row r="96" spans="1:120" s="72" customFormat="1" ht="15.6" hidden="1" x14ac:dyDescent="0.3">
      <c r="A96" s="71">
        <v>93</v>
      </c>
      <c r="B96" s="72" t="s">
        <v>107</v>
      </c>
      <c r="C96" s="72">
        <v>45</v>
      </c>
      <c r="D96" s="72" t="s">
        <v>100</v>
      </c>
      <c r="E96" s="72">
        <v>2.6242999999999999</v>
      </c>
      <c r="F96" s="72">
        <v>2.3759999999999999</v>
      </c>
      <c r="G96" s="71"/>
      <c r="CV96" s="80">
        <v>0</v>
      </c>
      <c r="DP96" s="75"/>
    </row>
    <row r="97" spans="1:120" s="72" customFormat="1" ht="15.6" hidden="1" x14ac:dyDescent="0.3">
      <c r="A97" s="71">
        <v>94</v>
      </c>
      <c r="B97" s="72" t="s">
        <v>109</v>
      </c>
      <c r="C97" s="72">
        <v>46</v>
      </c>
      <c r="D97" s="72" t="s">
        <v>108</v>
      </c>
      <c r="E97" s="72">
        <v>1.4515</v>
      </c>
      <c r="F97" s="72">
        <v>1.248</v>
      </c>
      <c r="G97" s="71"/>
      <c r="CW97" s="80">
        <v>0</v>
      </c>
      <c r="DP97" s="75"/>
    </row>
    <row r="98" spans="1:120" s="72" customFormat="1" ht="15.6" hidden="1" x14ac:dyDescent="0.3">
      <c r="A98" s="71">
        <v>95</v>
      </c>
      <c r="B98" s="72" t="s">
        <v>111</v>
      </c>
      <c r="C98" s="72">
        <v>46</v>
      </c>
      <c r="D98" s="72" t="s">
        <v>108</v>
      </c>
      <c r="E98" s="72">
        <v>2.1905000000000001</v>
      </c>
      <c r="F98" s="72">
        <v>1.796</v>
      </c>
      <c r="G98" s="71"/>
      <c r="CX98" s="80">
        <v>0</v>
      </c>
      <c r="DP98" s="75"/>
    </row>
    <row r="99" spans="1:120" s="72" customFormat="1" ht="15.6" hidden="1" x14ac:dyDescent="0.3">
      <c r="A99" s="71">
        <v>96</v>
      </c>
      <c r="B99" s="72" t="s">
        <v>110</v>
      </c>
      <c r="C99" s="72">
        <v>46</v>
      </c>
      <c r="D99" s="72" t="s">
        <v>108</v>
      </c>
      <c r="E99" s="72">
        <v>1.9637</v>
      </c>
      <c r="F99" s="72">
        <v>1.488</v>
      </c>
      <c r="G99" s="71"/>
      <c r="CY99" s="80">
        <v>0</v>
      </c>
      <c r="DP99" s="75"/>
    </row>
    <row r="100" spans="1:120" s="72" customFormat="1" ht="15.6" hidden="1" x14ac:dyDescent="0.3">
      <c r="A100" s="71">
        <v>97</v>
      </c>
      <c r="B100" s="72" t="s">
        <v>112</v>
      </c>
      <c r="C100" s="72">
        <v>46</v>
      </c>
      <c r="D100" s="72" t="s">
        <v>108</v>
      </c>
      <c r="E100" s="72">
        <v>2.8589000000000002</v>
      </c>
      <c r="F100" s="72">
        <v>2.4279999999999999</v>
      </c>
      <c r="G100" s="71"/>
      <c r="CZ100" s="80">
        <v>0</v>
      </c>
      <c r="DP100" s="75"/>
    </row>
    <row r="101" spans="1:120" s="72" customFormat="1" ht="15.6" hidden="1" x14ac:dyDescent="0.3">
      <c r="A101" s="71">
        <v>98</v>
      </c>
      <c r="B101" s="72" t="s">
        <v>113</v>
      </c>
      <c r="C101" s="72">
        <v>46</v>
      </c>
      <c r="D101" s="72" t="s">
        <v>108</v>
      </c>
      <c r="E101" s="72">
        <v>2.6322000000000001</v>
      </c>
      <c r="F101" s="72">
        <v>2.12</v>
      </c>
      <c r="G101" s="71"/>
      <c r="DA101" s="80">
        <v>0</v>
      </c>
      <c r="DP101" s="75"/>
    </row>
    <row r="102" spans="1:120" s="72" customFormat="1" ht="15.6" hidden="1" x14ac:dyDescent="0.3">
      <c r="A102" s="71">
        <v>99</v>
      </c>
      <c r="B102" s="72" t="s">
        <v>114</v>
      </c>
      <c r="C102" s="72">
        <v>46</v>
      </c>
      <c r="D102" s="72" t="s">
        <v>108</v>
      </c>
      <c r="E102" s="72">
        <v>2.4054000000000002</v>
      </c>
      <c r="F102" s="72">
        <v>1.8120000000000001</v>
      </c>
      <c r="G102" s="71"/>
      <c r="DB102" s="80">
        <v>0</v>
      </c>
      <c r="DP102" s="75"/>
    </row>
    <row r="103" spans="1:120" s="72" customFormat="1" ht="15.6" hidden="1" x14ac:dyDescent="0.3">
      <c r="A103" s="71">
        <v>100</v>
      </c>
      <c r="B103" s="72" t="s">
        <v>116</v>
      </c>
      <c r="C103" s="72">
        <v>47</v>
      </c>
      <c r="D103" s="72" t="s">
        <v>115</v>
      </c>
      <c r="E103" s="72">
        <v>2.1225999999999998</v>
      </c>
      <c r="F103" s="72">
        <v>1.9039999999999999</v>
      </c>
      <c r="G103" s="71"/>
      <c r="DC103" s="80">
        <v>0</v>
      </c>
      <c r="DP103" s="75"/>
    </row>
    <row r="104" spans="1:120" s="72" customFormat="1" ht="15.6" hidden="1" x14ac:dyDescent="0.3">
      <c r="A104" s="71">
        <v>101</v>
      </c>
      <c r="B104" s="72" t="s">
        <v>117</v>
      </c>
      <c r="C104" s="72">
        <v>47</v>
      </c>
      <c r="D104" s="72" t="s">
        <v>115</v>
      </c>
      <c r="E104" s="72">
        <v>1.8952</v>
      </c>
      <c r="F104" s="72">
        <v>1.5920000000000001</v>
      </c>
      <c r="G104" s="71"/>
      <c r="DD104" s="80">
        <v>0</v>
      </c>
      <c r="DP104" s="75"/>
    </row>
    <row r="105" spans="1:120" s="72" customFormat="1" ht="15.6" hidden="1" x14ac:dyDescent="0.3">
      <c r="A105" s="71">
        <v>102</v>
      </c>
      <c r="B105" s="72" t="s">
        <v>118</v>
      </c>
      <c r="C105" s="72">
        <v>48</v>
      </c>
      <c r="D105" s="72" t="s">
        <v>119</v>
      </c>
      <c r="E105" s="72">
        <v>1.613</v>
      </c>
      <c r="F105" s="72">
        <v>1.3680000000000001</v>
      </c>
      <c r="G105" s="71"/>
      <c r="DE105" s="80">
        <v>0</v>
      </c>
      <c r="DP105" s="75"/>
    </row>
    <row r="106" spans="1:120" s="72" customFormat="1" ht="15.6" hidden="1" x14ac:dyDescent="0.3">
      <c r="A106" s="71">
        <v>103</v>
      </c>
      <c r="B106" s="72" t="s">
        <v>119</v>
      </c>
      <c r="C106" s="72">
        <v>48</v>
      </c>
      <c r="D106" s="72" t="s">
        <v>119</v>
      </c>
      <c r="E106" s="72">
        <v>1.3863000000000001</v>
      </c>
      <c r="F106" s="72">
        <v>1.06</v>
      </c>
      <c r="G106" s="71"/>
      <c r="DF106" s="80">
        <v>0</v>
      </c>
      <c r="DP106" s="75"/>
    </row>
    <row r="107" spans="1:120" s="72" customFormat="1" ht="15.6" hidden="1" x14ac:dyDescent="0.3">
      <c r="A107" s="71">
        <v>104</v>
      </c>
      <c r="B107" s="72" t="s">
        <v>120</v>
      </c>
      <c r="C107" s="72">
        <v>48</v>
      </c>
      <c r="D107" s="72" t="s">
        <v>119</v>
      </c>
      <c r="E107" s="72">
        <v>1.1589</v>
      </c>
      <c r="F107" s="72">
        <v>0.748</v>
      </c>
      <c r="G107" s="71"/>
      <c r="DG107" s="80">
        <v>0</v>
      </c>
      <c r="DP107" s="75"/>
    </row>
    <row r="108" spans="1:120" s="72" customFormat="1" hidden="1" x14ac:dyDescent="0.3">
      <c r="A108" s="71">
        <v>105</v>
      </c>
      <c r="B108" s="72" t="s">
        <v>121</v>
      </c>
      <c r="C108" s="72">
        <v>49</v>
      </c>
      <c r="D108" s="72" t="s">
        <v>123</v>
      </c>
      <c r="E108" s="72">
        <v>3.4740000000000002</v>
      </c>
      <c r="F108" s="72">
        <v>2.7959999999999998</v>
      </c>
      <c r="G108" s="71"/>
      <c r="DH108" s="80">
        <v>0</v>
      </c>
      <c r="DP108" s="75"/>
    </row>
    <row r="109" spans="1:120" s="72" customFormat="1" ht="15.6" hidden="1" x14ac:dyDescent="0.3">
      <c r="A109" s="71">
        <v>106</v>
      </c>
      <c r="B109" s="72" t="s">
        <v>124</v>
      </c>
      <c r="C109" s="72">
        <v>50</v>
      </c>
      <c r="D109" s="72" t="s">
        <v>122</v>
      </c>
      <c r="E109" s="72">
        <v>2.8569</v>
      </c>
      <c r="F109" s="72">
        <v>2.14</v>
      </c>
      <c r="G109" s="71"/>
      <c r="DI109" s="80">
        <v>0</v>
      </c>
      <c r="DP109" s="75"/>
    </row>
    <row r="110" spans="1:120" s="72" customFormat="1" ht="15.6" hidden="1" x14ac:dyDescent="0.3">
      <c r="A110" s="71">
        <v>107</v>
      </c>
      <c r="B110" s="72" t="s">
        <v>125</v>
      </c>
      <c r="C110" s="72">
        <v>50</v>
      </c>
      <c r="D110" s="72" t="s">
        <v>122</v>
      </c>
      <c r="E110" s="72">
        <v>2.6907999999999999</v>
      </c>
      <c r="F110" s="72">
        <v>1.86</v>
      </c>
      <c r="G110" s="71"/>
      <c r="DJ110" s="80">
        <v>0</v>
      </c>
      <c r="DP110" s="75"/>
    </row>
    <row r="111" spans="1:120" s="72" customFormat="1" ht="15.6" hidden="1" x14ac:dyDescent="0.3">
      <c r="A111" s="71">
        <v>108</v>
      </c>
      <c r="B111" s="72" t="s">
        <v>126</v>
      </c>
      <c r="C111" s="72">
        <v>50</v>
      </c>
      <c r="D111" s="72" t="s">
        <v>122</v>
      </c>
      <c r="E111" s="72">
        <v>2.5247000000000002</v>
      </c>
      <c r="F111" s="72">
        <v>1.58</v>
      </c>
      <c r="G111" s="71"/>
      <c r="DK111" s="80">
        <v>0</v>
      </c>
      <c r="DP111" s="75"/>
    </row>
    <row r="112" spans="1:120" s="72" customFormat="1" hidden="1" x14ac:dyDescent="0.3">
      <c r="A112" s="71">
        <v>109</v>
      </c>
      <c r="B112" s="72" t="s">
        <v>127</v>
      </c>
      <c r="C112" s="72">
        <v>51</v>
      </c>
      <c r="D112" s="72" t="s">
        <v>127</v>
      </c>
      <c r="E112" s="72">
        <v>1.0567</v>
      </c>
      <c r="F112" s="72">
        <v>0.73199999999999998</v>
      </c>
      <c r="G112" s="71"/>
      <c r="DL112" s="80">
        <v>0</v>
      </c>
      <c r="DP112" s="75"/>
    </row>
    <row r="113" spans="1:120" s="72" customFormat="1" ht="15.6" hidden="1" x14ac:dyDescent="0.3">
      <c r="A113" s="71">
        <v>110</v>
      </c>
      <c r="B113" s="72" t="s">
        <v>129</v>
      </c>
      <c r="C113" s="72">
        <v>55</v>
      </c>
      <c r="D113" s="72" t="s">
        <v>128</v>
      </c>
      <c r="E113" s="72">
        <v>2.6869000000000001</v>
      </c>
      <c r="F113" s="72">
        <v>2.12</v>
      </c>
      <c r="G113" s="71"/>
      <c r="DM113" s="80">
        <v>0</v>
      </c>
      <c r="DP113" s="75"/>
    </row>
    <row r="114" spans="1:120" s="72" customFormat="1" ht="15.6" hidden="1" x14ac:dyDescent="0.3">
      <c r="A114" s="71">
        <v>111</v>
      </c>
      <c r="B114" s="72" t="s">
        <v>130</v>
      </c>
      <c r="C114" s="72">
        <v>55</v>
      </c>
      <c r="D114" s="72" t="s">
        <v>128</v>
      </c>
      <c r="E114" s="72">
        <v>2.4594999999999998</v>
      </c>
      <c r="F114" s="72">
        <v>1.8080000000000001</v>
      </c>
      <c r="G114" s="71"/>
      <c r="DN114" s="80">
        <v>0</v>
      </c>
      <c r="DP114" s="75"/>
    </row>
    <row r="115" spans="1:120" s="72" customFormat="1" hidden="1" x14ac:dyDescent="0.3">
      <c r="A115" s="71">
        <v>112</v>
      </c>
      <c r="B115" s="72" t="s">
        <v>133</v>
      </c>
      <c r="C115" s="72">
        <v>84</v>
      </c>
      <c r="D115" s="72" t="s">
        <v>132</v>
      </c>
      <c r="E115" s="72">
        <v>2.0259999999999998</v>
      </c>
      <c r="F115" s="72">
        <v>0.86799999999999999</v>
      </c>
      <c r="G115" s="71"/>
      <c r="DO115" s="80">
        <v>0</v>
      </c>
      <c r="DP115" s="75"/>
    </row>
    <row r="116" spans="1:120" s="72" customFormat="1" hidden="1" x14ac:dyDescent="0.3">
      <c r="A116" s="73">
        <v>113</v>
      </c>
      <c r="B116" s="74" t="s">
        <v>131</v>
      </c>
      <c r="C116" s="74">
        <v>85</v>
      </c>
      <c r="D116" s="74" t="s">
        <v>131</v>
      </c>
      <c r="E116" s="74">
        <v>5.774</v>
      </c>
      <c r="F116" s="74">
        <v>4.9320000000000004</v>
      </c>
      <c r="G116" s="73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R116" s="74"/>
      <c r="S116" s="74"/>
      <c r="T116" s="74"/>
      <c r="U116" s="74"/>
      <c r="V116" s="74"/>
      <c r="W116" s="74"/>
      <c r="X116" s="74"/>
      <c r="Y116" s="74"/>
      <c r="Z116" s="74"/>
      <c r="AA116" s="74"/>
      <c r="AB116" s="74"/>
      <c r="AC116" s="74"/>
      <c r="AD116" s="74"/>
      <c r="AE116" s="74"/>
      <c r="AF116" s="74"/>
      <c r="AG116" s="74"/>
      <c r="AH116" s="74"/>
      <c r="AI116" s="74"/>
      <c r="AJ116" s="74"/>
      <c r="AK116" s="74"/>
      <c r="AL116" s="74"/>
      <c r="AM116" s="74"/>
      <c r="AN116" s="74"/>
      <c r="AO116" s="74"/>
      <c r="AP116" s="74"/>
      <c r="AQ116" s="74"/>
      <c r="AR116" s="74"/>
      <c r="AS116" s="74"/>
      <c r="AT116" s="74"/>
      <c r="AU116" s="74"/>
      <c r="AV116" s="74"/>
      <c r="AW116" s="74"/>
      <c r="AX116" s="74"/>
      <c r="AY116" s="74"/>
      <c r="AZ116" s="74"/>
      <c r="BA116" s="74"/>
      <c r="BB116" s="74"/>
      <c r="BC116" s="74"/>
      <c r="BD116" s="74"/>
      <c r="BE116" s="74"/>
      <c r="BF116" s="74"/>
      <c r="BG116" s="74"/>
      <c r="BH116" s="74"/>
      <c r="BI116" s="74"/>
      <c r="BJ116" s="74"/>
      <c r="BK116" s="74"/>
      <c r="BL116" s="74"/>
      <c r="BM116" s="74"/>
      <c r="BN116" s="74"/>
      <c r="BO116" s="74"/>
      <c r="BP116" s="74"/>
      <c r="BQ116" s="74"/>
      <c r="BR116" s="74"/>
      <c r="BS116" s="74"/>
      <c r="BT116" s="74"/>
      <c r="BU116" s="74"/>
      <c r="BV116" s="74"/>
      <c r="BW116" s="74"/>
      <c r="BX116" s="74"/>
      <c r="BY116" s="74"/>
      <c r="BZ116" s="74"/>
      <c r="CA116" s="74"/>
      <c r="CB116" s="74"/>
      <c r="CC116" s="74"/>
      <c r="CD116" s="74"/>
      <c r="CE116" s="74"/>
      <c r="CF116" s="74"/>
      <c r="CG116" s="74"/>
      <c r="CH116" s="74"/>
      <c r="CI116" s="74"/>
      <c r="CJ116" s="74"/>
      <c r="CK116" s="74"/>
      <c r="CL116" s="74"/>
      <c r="CM116" s="74"/>
      <c r="CN116" s="74"/>
      <c r="CO116" s="74"/>
      <c r="CP116" s="74"/>
      <c r="CQ116" s="74"/>
      <c r="CR116" s="74"/>
      <c r="CS116" s="74"/>
      <c r="CT116" s="74"/>
      <c r="CU116" s="74"/>
      <c r="CV116" s="74"/>
      <c r="CW116" s="74"/>
      <c r="CX116" s="74"/>
      <c r="CY116" s="74"/>
      <c r="CZ116" s="74"/>
      <c r="DA116" s="74"/>
      <c r="DB116" s="74"/>
      <c r="DC116" s="74"/>
      <c r="DD116" s="74"/>
      <c r="DE116" s="74"/>
      <c r="DF116" s="74"/>
      <c r="DG116" s="74"/>
      <c r="DH116" s="74"/>
      <c r="DI116" s="74"/>
      <c r="DJ116" s="74"/>
      <c r="DK116" s="74"/>
      <c r="DL116" s="74"/>
      <c r="DM116" s="74"/>
      <c r="DN116" s="74"/>
      <c r="DO116" s="74"/>
      <c r="DP116" s="80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Main</vt:lpstr>
      <vt:lpstr>Inserir Dados (VLE)</vt:lpstr>
      <vt:lpstr>Insert Data</vt:lpstr>
      <vt:lpstr>Results</vt:lpstr>
      <vt:lpstr>Plot</vt:lpstr>
      <vt:lpstr>Constantes UNIFAC (VLE)</vt:lpstr>
      <vt:lpstr>UNIFAC Coefficients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Liquid-Liquid Equilibria Simulation - UNIFAC Model</dc:title>
  <dc:creator/>
  <cp:lastModifiedBy/>
  <dcterms:created xsi:type="dcterms:W3CDTF">2015-06-05T18:19:34Z</dcterms:created>
  <dcterms:modified xsi:type="dcterms:W3CDTF">2024-06-10T01:57:32Z</dcterms:modified>
</cp:coreProperties>
</file>